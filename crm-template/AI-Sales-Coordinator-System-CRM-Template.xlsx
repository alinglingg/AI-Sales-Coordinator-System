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  <sheet state="visible" name="Activity Log" sheetId="2" r:id="rId6"/>
    <sheet state="visible" name="Follow-Ups" sheetId="3" r:id="rId7"/>
    <sheet state="visible" name="Dashboard" sheetId="4" r:id="rId8"/>
    <sheet state="visible" name="Lists" sheetId="5" r:id="rId9"/>
  </sheets>
  <definedNames/>
  <calcPr/>
</workbook>
</file>

<file path=xl/sharedStrings.xml><?xml version="1.0" encoding="utf-8"?>
<sst xmlns="http://schemas.openxmlformats.org/spreadsheetml/2006/main" count="404" uniqueCount="166">
  <si>
    <t>Lead ID</t>
  </si>
  <si>
    <t>Date Created</t>
  </si>
  <si>
    <t>Name</t>
  </si>
  <si>
    <t>Email</t>
  </si>
  <si>
    <t>Phone</t>
  </si>
  <si>
    <t>Property Type</t>
  </si>
  <si>
    <t>Budget</t>
  </si>
  <si>
    <t>Timeline</t>
  </si>
  <si>
    <t>Message</t>
  </si>
  <si>
    <t>Lead Score</t>
  </si>
  <si>
    <t>Temperature</t>
  </si>
  <si>
    <t>Priority</t>
  </si>
  <si>
    <t>Qualification Reason</t>
  </si>
  <si>
    <t>Recommended Action</t>
  </si>
  <si>
    <t>Suggested Agent Type</t>
  </si>
  <si>
    <t>Assigned Agent</t>
  </si>
  <si>
    <t>Agent Email</t>
  </si>
  <si>
    <t>Agent Phone</t>
  </si>
  <si>
    <t>Agent Specialty</t>
  </si>
  <si>
    <t>Lead Status</t>
  </si>
  <si>
    <t>Follow-Up Status</t>
  </si>
  <si>
    <t>Appointment Status</t>
  </si>
  <si>
    <t>Outcome</t>
  </si>
  <si>
    <t>Assigned Date</t>
  </si>
  <si>
    <t>Last Contact Date</t>
  </si>
  <si>
    <t>Next Follow-Up Date</t>
  </si>
  <si>
    <t>Escalation Status</t>
  </si>
  <si>
    <t>LEAD-20260609-171329</t>
  </si>
  <si>
    <t>Maria Lopez</t>
  </si>
  <si>
    <t>maria@example.com</t>
  </si>
  <si>
    <t>Residential</t>
  </si>
  <si>
    <t>Within 30 days</t>
  </si>
  <si>
    <t>I am looking for a 3-bedroom house in Cavite and I want to schedule a viewing soon.</t>
  </si>
  <si>
    <t>Hot</t>
  </si>
  <si>
    <t>High</t>
  </si>
  <si>
    <t>Urgent timeline of 30 days, clear intent to buy a 3-bedroom house, and strong budget of 8,000,000.</t>
  </si>
  <si>
    <t>Schedule a property viewing with Maria Lopez as soon as possible.</t>
  </si>
  <si>
    <t>Anna Santos</t>
  </si>
  <si>
    <t>anna@premierrealty.com</t>
  </si>
  <si>
    <t>Assigned</t>
  </si>
  <si>
    <t>Not Started</t>
  </si>
  <si>
    <t>Not Booked</t>
  </si>
  <si>
    <t>Pending</t>
  </si>
  <si>
    <t>Not Escalated</t>
  </si>
  <si>
    <t>LEAD-20260611-173738</t>
  </si>
  <si>
    <t>Sofia Reyes</t>
  </si>
  <si>
    <t>sofia.reyes@example.com</t>
  </si>
  <si>
    <t>Condo</t>
  </si>
  <si>
    <t>I am interested in a condo near BGC and would like to schedule a viewing soon. I already have financing ready.</t>
  </si>
  <si>
    <t>Lead has a clear property type preference, strong budget, urgent timeline, and readiness for financing.</t>
  </si>
  <si>
    <t>Schedule a viewing appointment as soon as possible.</t>
  </si>
  <si>
    <t>LEAD-20260611-174231</t>
  </si>
  <si>
    <t>Marco Tan</t>
  </si>
  <si>
    <t>marco.tan@example.com</t>
  </si>
  <si>
    <t>Commercial</t>
  </si>
  <si>
    <t>ASAP</t>
  </si>
  <si>
    <t>I am looking for a commercial space for my business and need to schedule a call this week. Budget is ready and I want to move quickly.</t>
  </si>
  <si>
    <t>Urgent timeline for a commercial property, clear buying intent, and strong budget of 15,000,000.</t>
  </si>
  <si>
    <t>Schedule a call with Marco this week to discuss commercial space options.</t>
  </si>
  <si>
    <t>Bob Reyes</t>
  </si>
  <si>
    <t>inquiry.asdautomations@gmail.com</t>
  </si>
  <si>
    <t>Residential/Commercial</t>
  </si>
  <si>
    <t>LEAD-20260611-174403</t>
  </si>
  <si>
    <t>Lara Mendoza</t>
  </si>
  <si>
    <t>lara.mendoza@example.com</t>
  </si>
  <si>
    <t>In 3 to 6 months</t>
  </si>
  <si>
    <t>I am comparing houses in Cavite and Laguna. I am not in a rush yet but I would like to know available options.</t>
  </si>
  <si>
    <t>Warm</t>
  </si>
  <si>
    <t>Medium</t>
  </si>
  <si>
    <t>Lara is interested in comparing options but has a non-urgent timeline of 3 to 6 months and hasn't requested a viewing.</t>
  </si>
  <si>
    <t>Follow up in a month to discuss available properties and options.</t>
  </si>
  <si>
    <t>Residential / Commercial</t>
  </si>
  <si>
    <t>LEAD-20260611-174439</t>
  </si>
  <si>
    <t>Nico Ramos</t>
  </si>
  <si>
    <t>nico.ramos@example.com</t>
  </si>
  <si>
    <t>Not sure yet</t>
  </si>
  <si>
    <t>Just browsing for now. I am not sure what I want yet and I am only checking prices.</t>
  </si>
  <si>
    <t>Cold</t>
  </si>
  <si>
    <t>Low</t>
  </si>
  <si>
    <t>Lead is just browsing with no urgency and unclear intent.</t>
  </si>
  <si>
    <t>Follow up in a few months to reassess interest.</t>
  </si>
  <si>
    <t>Carl Cruz</t>
  </si>
  <si>
    <t>Nuture / Cold Leads</t>
  </si>
  <si>
    <t>Timestamp</t>
  </si>
  <si>
    <t>Activity Type</t>
  </si>
  <si>
    <t>Description</t>
  </si>
  <si>
    <t>Agent</t>
  </si>
  <si>
    <t>Status</t>
  </si>
  <si>
    <t>Notes</t>
  </si>
  <si>
    <t>2026-06-09 20:02:06</t>
  </si>
  <si>
    <t>Lead Assigned</t>
  </si>
  <si>
    <t>Hot residential lead assigned to Anna Santos.</t>
  </si>
  <si>
    <t>Completed</t>
  </si>
  <si>
    <t>LEAD-20260610-125812</t>
  </si>
  <si>
    <t>Agent Notified</t>
  </si>
  <si>
    <t>Telegram notification sent to Anna Santos</t>
  </si>
  <si>
    <t>Assigned agent received lead details, AI score, priority, and recommended action.</t>
  </si>
  <si>
    <t>Acknowledgement Email Sent</t>
  </si>
  <si>
    <t>Acknowledgement email sent to maria@example.com</t>
  </si>
  <si>
    <t>Automated confirmation email sent after lead was created in CRM.</t>
  </si>
  <si>
    <t>Follow-Up Scheduled</t>
  </si>
  <si>
    <t>First follow-up task scheduled for 2026-06-11 14:42:40</t>
  </si>
  <si>
    <t>Follow-up task automatically created in the Follow-Ups sheet.</t>
  </si>
  <si>
    <t>Follow-Up Sent</t>
  </si>
  <si>
    <t>Follow-up email sent to maria@example.com</t>
  </si>
  <si>
    <t>Follow-up status updated to Sent in the Follow-Ups sheet.</t>
  </si>
  <si>
    <t>Escalation Sent</t>
  </si>
  <si>
    <t>Escalation alert sent for overdue follow-up assigned to Anna Santos</t>
  </si>
  <si>
    <t>Manager or agent was notified through Telegram and follow-up row was marked as escalated.</t>
  </si>
  <si>
    <t>Acknowledgement email sent to sofia.reyes@example.com</t>
  </si>
  <si>
    <t>First follow-up task scheduled for 2026-06-12 17:37:55</t>
  </si>
  <si>
    <t>Telegram notification sent to Bob Reyes</t>
  </si>
  <si>
    <t>Acknowledgement email sent to marco.tan@example.com</t>
  </si>
  <si>
    <t>First follow-up task scheduled for 2026-06-12 17:42:45</t>
  </si>
  <si>
    <t>Acknowledgement email sent to lara.mendoza@example.com</t>
  </si>
  <si>
    <t>First follow-up task scheduled for 2026-06-12 17:44:15</t>
  </si>
  <si>
    <t>Telegram notification sent to Carl Cruz</t>
  </si>
  <si>
    <t>Acknowledgement email sent to nico.ramos@example.com</t>
  </si>
  <si>
    <t>First follow-up task scheduled for 2026-06-12 17:44:54</t>
  </si>
  <si>
    <t>Follow-up email sent to sofia.reyes@example.com</t>
  </si>
  <si>
    <t>Follow-up email sent to marco.tan@example.com</t>
  </si>
  <si>
    <t>Follow-up email sent to lara.mendoza@example.com</t>
  </si>
  <si>
    <t>Follow-up email sent to nico.ramos@example.com</t>
  </si>
  <si>
    <t>Lead Name</t>
  </si>
  <si>
    <t>Lead Email</t>
  </si>
  <si>
    <t>Follow-Up Number</t>
  </si>
  <si>
    <t>Scheduled Date</t>
  </si>
  <si>
    <t>Sent Date</t>
  </si>
  <si>
    <t>Email Type</t>
  </si>
  <si>
    <t>Escalated Date</t>
  </si>
  <si>
    <t>Sent</t>
  </si>
  <si>
    <t>Follow-Up 1</t>
  </si>
  <si>
    <t>Auto-scheduled after lead assignment</t>
  </si>
  <si>
    <t>Escalated</t>
  </si>
  <si>
    <t>AI Sales Coordinator System Dashboard</t>
  </si>
  <si>
    <t>Metric</t>
  </si>
  <si>
    <t>Value</t>
  </si>
  <si>
    <t>Total Leads</t>
  </si>
  <si>
    <t>Hot Leads</t>
  </si>
  <si>
    <t>Warm Leads</t>
  </si>
  <si>
    <t>Cold Leads</t>
  </si>
  <si>
    <t>High Priority</t>
  </si>
  <si>
    <t>Assigned Leads</t>
  </si>
  <si>
    <t>Appointments Booked</t>
  </si>
  <si>
    <t>Escalated Leads</t>
  </si>
  <si>
    <t>Pending Follow-Ups</t>
  </si>
  <si>
    <t>Sent Follow-Ups</t>
  </si>
  <si>
    <t>Escalated Follow-Ups</t>
  </si>
  <si>
    <t>Total Activities Logged</t>
  </si>
  <si>
    <t>Leads Per Agent</t>
  </si>
  <si>
    <t>Pipeline Status</t>
  </si>
  <si>
    <t>New</t>
  </si>
  <si>
    <t>Contacted</t>
  </si>
  <si>
    <t>Closed Won</t>
  </si>
  <si>
    <t>Closed Lost</t>
  </si>
  <si>
    <t>Activity Log Summary</t>
  </si>
  <si>
    <t>Follow-Up 1 Sent</t>
  </si>
  <si>
    <t>Booked</t>
  </si>
  <si>
    <t>Follow-Up 2 Sent</t>
  </si>
  <si>
    <t>Cancelled</t>
  </si>
  <si>
    <t>Other</t>
  </si>
  <si>
    <t>Qualified</t>
  </si>
  <si>
    <t>Rescheduled</t>
  </si>
  <si>
    <t>Unresponsive</t>
  </si>
  <si>
    <t>Closed</t>
  </si>
  <si>
    <t>Paused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</si>
</sst>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 h:mm:ss"/>
  </numFmts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6.0"/>
      <color rgb="FFFFFFFF"/>
      <name val="Carlito"/>
    </font>
    <font>
      <b/>
      <sz val="11.0"/>
      <color rgb="FF1F4E78"/>
      <name val="Carlito"/>
    </font>
    <font>
      <b/>
      <color rgb="FF1F4E78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74E13"/>
        <bgColor rgb="FF274E13"/>
      </patternFill>
    </fill>
    <fill>
      <patternFill patternType="solid">
        <fgColor rgb="FF8BC34A"/>
        <bgColor rgb="FF8BC34A"/>
      </patternFill>
    </fill>
    <fill>
      <patternFill patternType="solid">
        <fgColor rgb="FFD9EAF7"/>
        <bgColor rgb="FFD9EAF7"/>
      </patternFill>
    </fill>
  </fills>
  <borders count="3">
    <border/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0" fontId="2" numFmtId="1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3" xfId="0" applyAlignment="1" applyFont="1" applyNumberFormat="1">
      <alignment shrinkToFit="0" wrapText="1"/>
    </xf>
    <xf borderId="0" fillId="0" fontId="2" numFmtId="1" xfId="0" applyAlignment="1" applyFont="1" applyNumberFormat="1">
      <alignment shrinkToFit="0" wrapText="1"/>
    </xf>
    <xf borderId="0" fillId="0" fontId="3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2" numFmtId="1" xfId="0" applyFont="1" applyNumberFormat="1"/>
    <xf borderId="0" fillId="0" fontId="3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164" xfId="0" applyAlignment="1" applyFont="1" applyNumberFormat="1">
      <alignment horizontal="left" shrinkToFit="0" wrapText="1"/>
    </xf>
    <xf borderId="0" fillId="0" fontId="3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3" numFmtId="0" xfId="0" applyAlignment="1" applyFont="1">
      <alignment horizontal="left"/>
    </xf>
    <xf borderId="0" fillId="3" fontId="4" numFmtId="0" xfId="0" applyAlignment="1" applyFill="1" applyFont="1">
      <alignment horizontal="center"/>
    </xf>
    <xf borderId="0" fillId="4" fontId="1" numFmtId="0" xfId="0" applyAlignment="1" applyFill="1" applyFont="1">
      <alignment horizontal="center" shrinkToFit="0" vertical="center" wrapText="1"/>
    </xf>
    <xf borderId="0" fillId="0" fontId="2" numFmtId="0" xfId="0" applyFont="1"/>
    <xf borderId="0" fillId="0" fontId="2" numFmtId="1" xfId="0" applyFont="1" applyNumberFormat="1"/>
    <xf borderId="0" fillId="0" fontId="3" numFmtId="1" xfId="0" applyFont="1" applyNumberFormat="1"/>
    <xf borderId="1" fillId="5" fontId="5" numFmtId="0" xfId="0" applyBorder="1" applyFill="1" applyFont="1"/>
    <xf borderId="2" fillId="5" fontId="5" numFmtId="1" xfId="0" applyBorder="1" applyFont="1" applyNumberFormat="1"/>
    <xf borderId="0" fillId="5" fontId="6" numFmtId="0" xfId="0" applyAlignment="1" applyFont="1">
      <alignment readingOrder="0"/>
    </xf>
    <xf borderId="0" fillId="4" fontId="3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ECACA"/>
          <bgColor rgb="FFFECACA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  <dxf>
      <font>
        <b/>
        <color rgb="FFB91C1C"/>
      </font>
      <fill>
        <patternFill patternType="none"/>
      </fill>
      <border/>
    </dxf>
    <dxf>
      <font>
        <b/>
      </font>
      <fill>
        <patternFill patternType="solid">
          <fgColor rgb="FFFCA5A5"/>
          <bgColor rgb="FFFCA5A5"/>
        </patternFill>
      </fill>
      <border/>
    </dxf>
  </dxfs>
  <tableStyles count="3">
    <tableStyle count="3" pivot="0" name="Leads-style">
      <tableStyleElement dxfId="1" type="headerRow"/>
      <tableStyleElement dxfId="2" type="firstRowStripe"/>
      <tableStyleElement dxfId="3" type="secondRowStripe"/>
    </tableStyle>
    <tableStyle count="3" pivot="0" name="Activity Log-style">
      <tableStyleElement dxfId="1" type="headerRow"/>
      <tableStyleElement dxfId="2" type="firstRowStripe"/>
      <tableStyleElement dxfId="3" type="secondRowStripe"/>
    </tableStyle>
    <tableStyle count="3" pivot="0" name="Follow-Up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Dashboard!$B$17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Dashboard!$A$18:$A$20</c:f>
            </c:strRef>
          </c:cat>
          <c:val>
            <c:numRef>
              <c:f>Dashboard!$B$18:$B$20</c:f>
              <c:numCache/>
            </c:numRef>
          </c:val>
        </c:ser>
        <c:axId val="1058193277"/>
        <c:axId val="39034414"/>
      </c:barChart>
      <c:catAx>
        <c:axId val="1058193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Leads Per Agent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34414"/>
      </c:catAx>
      <c:valAx>
        <c:axId val="39034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193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Dashboard!$B$22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Dashboard!$A$23:$A$27</c:f>
            </c:strRef>
          </c:cat>
          <c:val>
            <c:numRef>
              <c:f>Dashboard!$B$23:$B$27</c:f>
              <c:numCache/>
            </c:numRef>
          </c:val>
        </c:ser>
        <c:axId val="1375064194"/>
        <c:axId val="2062441017"/>
      </c:barChart>
      <c:catAx>
        <c:axId val="13750641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Pipeline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441017"/>
      </c:catAx>
      <c:valAx>
        <c:axId val="20624410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0641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Dashboard!$B$30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Dashboard!$A$31:$A$33</c:f>
            </c:strRef>
          </c:cat>
          <c:val>
            <c:numRef>
              <c:f>Dashboard!$B$31:$B$33</c:f>
              <c:numCache/>
            </c:numRef>
          </c:val>
        </c:ser>
        <c:axId val="211691450"/>
        <c:axId val="162826301"/>
      </c:barChart>
      <c:catAx>
        <c:axId val="211691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Follow-Up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26301"/>
      </c:catAx>
      <c:valAx>
        <c:axId val="162826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91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657225</xdr:colOff>
      <xdr:row>0</xdr:row>
      <xdr:rowOff>228600</xdr:rowOff>
    </xdr:from>
    <xdr:ext cx="4572000" cy="3038475"/>
    <xdr:pic>
      <xdr:nvPicPr>
        <xdr:cNvPr id="175628183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18</xdr:row>
      <xdr:rowOff>85725</xdr:rowOff>
    </xdr:from>
    <xdr:ext cx="4572000" cy="2828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647700</xdr:colOff>
      <xdr:row>0</xdr:row>
      <xdr:rowOff>228600</xdr:rowOff>
    </xdr:from>
    <xdr:ext cx="4572000" cy="30384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9525</xdr:colOff>
      <xdr:row>18</xdr:row>
      <xdr:rowOff>85725</xdr:rowOff>
    </xdr:from>
    <xdr:ext cx="4572000" cy="2828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220" displayName="Table_1" name="Table_1" id="1">
  <tableColumns count="27">
    <tableColumn name="Lead ID" id="1"/>
    <tableColumn name="Date Created" id="2"/>
    <tableColumn name="Name" id="3"/>
    <tableColumn name="Email" id="4"/>
    <tableColumn name="Phone" id="5"/>
    <tableColumn name="Property Type" id="6"/>
    <tableColumn name="Budget" id="7"/>
    <tableColumn name="Timeline" id="8"/>
    <tableColumn name="Message" id="9"/>
    <tableColumn name="Lead Score" id="10"/>
    <tableColumn name="Temperature" id="11"/>
    <tableColumn name="Priority" id="12"/>
    <tableColumn name="Qualification Reason" id="13"/>
    <tableColumn name="Recommended Action" id="14"/>
    <tableColumn name="Suggested Agent Type" id="15"/>
    <tableColumn name="Assigned Agent" id="16"/>
    <tableColumn name="Agent Email" id="17"/>
    <tableColumn name="Agent Phone" id="18"/>
    <tableColumn name="Agent Specialty" id="19"/>
    <tableColumn name="Lead Status" id="20"/>
    <tableColumn name="Follow-Up Status" id="21"/>
    <tableColumn name="Appointment Status" id="22"/>
    <tableColumn name="Outcome" id="23"/>
    <tableColumn name="Assigned Date" id="24"/>
    <tableColumn name="Last Contact Date" id="25"/>
    <tableColumn name="Next Follow-Up Date" id="26"/>
    <tableColumn name="Escalation Status" id="27"/>
  </tableColumns>
  <tableStyleInfo name="Leads-style" showColumnStripes="0" showFirstColumn="1" showLastColumn="1" showRowStripes="1"/>
</table>
</file>

<file path=xl/tables/table2.xml><?xml version="1.0" encoding="utf-8"?>
<table xmlns="http://schemas.openxmlformats.org/spreadsheetml/2006/main" ref="A1:G220" displayName="Table_2" name="Table_2" id="2">
  <tableColumns count="7">
    <tableColumn name="Timestamp" id="1"/>
    <tableColumn name="Lead ID" id="2"/>
    <tableColumn name="Activity Type" id="3"/>
    <tableColumn name="Description" id="4"/>
    <tableColumn name="Agent" id="5"/>
    <tableColumn name="Status" id="6"/>
    <tableColumn name="Notes" id="7"/>
  </tableColumns>
  <tableStyleInfo name="Activity Log-style" showColumnStripes="0" showFirstColumn="1" showLastColumn="1" showRowStripes="1"/>
</table>
</file>

<file path=xl/tables/table3.xml><?xml version="1.0" encoding="utf-8"?>
<table xmlns="http://schemas.openxmlformats.org/spreadsheetml/2006/main" ref="A1:M219" displayName="Table_3" name="Table_3" id="3">
  <tableColumns count="13">
    <tableColumn name="Lead ID" id="1"/>
    <tableColumn name="Lead Name" id="2"/>
    <tableColumn name="Lead Email" id="3"/>
    <tableColumn name="Follow-Up Number" id="4"/>
    <tableColumn name="Scheduled Date" id="5"/>
    <tableColumn name="Status" id="6"/>
    <tableColumn name="Sent Date" id="7"/>
    <tableColumn name="Assigned Agent" id="8"/>
    <tableColumn name="Email Type" id="9"/>
    <tableColumn name="Priority" id="10"/>
    <tableColumn name="Notes" id="11"/>
    <tableColumn name="Escalation Status" id="12"/>
    <tableColumn name="Escalated Date" id="13"/>
  </tableColumns>
  <tableStyleInfo name="Follow-U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3" width="18.0"/>
    <col customWidth="1" min="4" max="4" width="24.0"/>
    <col customWidth="1" min="5" max="6" width="16.0"/>
    <col customWidth="1" min="7" max="7" width="14.0"/>
    <col customWidth="1" min="8" max="8" width="18.0"/>
    <col customWidth="1" min="9" max="9" width="40.0"/>
    <col customWidth="1" min="10" max="10" width="12.0"/>
    <col customWidth="1" min="11" max="12" width="14.0"/>
    <col customWidth="1" min="13" max="14" width="40.0"/>
    <col customWidth="1" min="15" max="16" width="18.0"/>
    <col customWidth="1" min="17" max="17" width="24.0"/>
    <col customWidth="1" min="18" max="18" width="16.0"/>
    <col customWidth="1" min="19" max="19" width="20.0"/>
    <col customWidth="1" min="20" max="20" width="16.0"/>
    <col customWidth="1" min="21" max="22" width="18.0"/>
    <col customWidth="1" min="23" max="23" width="16.0"/>
    <col customWidth="1" min="24" max="27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3">
        <v>46182.71769675926</v>
      </c>
      <c r="C2" s="2" t="s">
        <v>28</v>
      </c>
      <c r="D2" s="2" t="s">
        <v>29</v>
      </c>
      <c r="E2" s="2">
        <v>9.171234567E9</v>
      </c>
      <c r="F2" s="2" t="s">
        <v>30</v>
      </c>
      <c r="G2" s="4">
        <v>8000000.0</v>
      </c>
      <c r="H2" s="2" t="s">
        <v>31</v>
      </c>
      <c r="I2" s="2" t="s">
        <v>32</v>
      </c>
      <c r="J2" s="5">
        <v>90.0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30</v>
      </c>
      <c r="P2" s="2" t="s">
        <v>37</v>
      </c>
      <c r="Q2" s="2" t="s">
        <v>38</v>
      </c>
      <c r="R2" s="6">
        <v>639171111111</v>
      </c>
      <c r="S2" s="2" t="s">
        <v>30</v>
      </c>
      <c r="T2" s="2" t="s">
        <v>39</v>
      </c>
      <c r="U2" s="2" t="s">
        <v>40</v>
      </c>
      <c r="V2" s="2" t="s">
        <v>41</v>
      </c>
      <c r="W2" s="2" t="s">
        <v>42</v>
      </c>
      <c r="X2" s="3">
        <v>46182.83479166667</v>
      </c>
      <c r="Y2" s="7"/>
      <c r="Z2" s="7"/>
      <c r="AA2" s="2" t="s">
        <v>43</v>
      </c>
    </row>
    <row r="3">
      <c r="A3" s="2" t="s">
        <v>44</v>
      </c>
      <c r="B3" s="3">
        <v>46184.73446759259</v>
      </c>
      <c r="C3" s="2" t="s">
        <v>45</v>
      </c>
      <c r="D3" s="2" t="s">
        <v>46</v>
      </c>
      <c r="E3" s="2">
        <v>9.181234567E9</v>
      </c>
      <c r="F3" s="2" t="s">
        <v>47</v>
      </c>
      <c r="G3" s="4">
        <v>6500000.0</v>
      </c>
      <c r="H3" s="2" t="s">
        <v>31</v>
      </c>
      <c r="I3" s="2" t="s">
        <v>48</v>
      </c>
      <c r="J3" s="5">
        <v>90.0</v>
      </c>
      <c r="K3" s="2" t="s">
        <v>33</v>
      </c>
      <c r="L3" s="2" t="s">
        <v>34</v>
      </c>
      <c r="M3" s="2" t="s">
        <v>49</v>
      </c>
      <c r="N3" s="2" t="s">
        <v>50</v>
      </c>
      <c r="O3" s="2" t="s">
        <v>30</v>
      </c>
      <c r="P3" s="2" t="s">
        <v>37</v>
      </c>
      <c r="Q3" s="2" t="s">
        <v>38</v>
      </c>
      <c r="R3" s="6">
        <v>639171111111</v>
      </c>
      <c r="S3" s="2" t="s">
        <v>30</v>
      </c>
      <c r="T3" s="2" t="s">
        <v>39</v>
      </c>
      <c r="U3" s="2" t="s">
        <v>40</v>
      </c>
      <c r="V3" s="2" t="s">
        <v>41</v>
      </c>
      <c r="W3" s="2" t="s">
        <v>42</v>
      </c>
      <c r="X3" s="3">
        <v>46184.73452546296</v>
      </c>
      <c r="Y3" s="7"/>
      <c r="Z3" s="7"/>
      <c r="AA3" s="2" t="s">
        <v>43</v>
      </c>
    </row>
    <row r="4">
      <c r="A4" s="2" t="s">
        <v>51</v>
      </c>
      <c r="B4" s="3">
        <v>46184.737858796296</v>
      </c>
      <c r="C4" s="2" t="s">
        <v>52</v>
      </c>
      <c r="D4" s="2" t="s">
        <v>53</v>
      </c>
      <c r="E4" s="2">
        <v>9.221234567E9</v>
      </c>
      <c r="F4" s="2" t="s">
        <v>54</v>
      </c>
      <c r="G4" s="4">
        <v>1.5E7</v>
      </c>
      <c r="H4" s="2" t="s">
        <v>55</v>
      </c>
      <c r="I4" s="2" t="s">
        <v>56</v>
      </c>
      <c r="J4" s="5">
        <v>90.0</v>
      </c>
      <c r="K4" s="2" t="s">
        <v>33</v>
      </c>
      <c r="L4" s="2" t="s">
        <v>34</v>
      </c>
      <c r="M4" s="2" t="s">
        <v>57</v>
      </c>
      <c r="N4" s="2" t="s">
        <v>58</v>
      </c>
      <c r="O4" s="2" t="s">
        <v>54</v>
      </c>
      <c r="P4" s="2" t="s">
        <v>59</v>
      </c>
      <c r="Q4" s="2" t="s">
        <v>60</v>
      </c>
      <c r="R4" s="6">
        <v>639171111111</v>
      </c>
      <c r="S4" s="2" t="s">
        <v>61</v>
      </c>
      <c r="T4" s="2" t="s">
        <v>39</v>
      </c>
      <c r="U4" s="2" t="s">
        <v>40</v>
      </c>
      <c r="V4" s="2" t="s">
        <v>41</v>
      </c>
      <c r="W4" s="2" t="s">
        <v>42</v>
      </c>
      <c r="X4" s="3">
        <v>46184.737905092596</v>
      </c>
      <c r="Y4" s="7"/>
      <c r="Z4" s="7"/>
      <c r="AA4" s="2" t="s">
        <v>43</v>
      </c>
    </row>
    <row r="5">
      <c r="A5" s="2" t="s">
        <v>62</v>
      </c>
      <c r="B5" s="3">
        <v>46184.73892361111</v>
      </c>
      <c r="C5" s="2" t="s">
        <v>63</v>
      </c>
      <c r="D5" s="2" t="s">
        <v>64</v>
      </c>
      <c r="E5" s="2">
        <v>9.331234567E9</v>
      </c>
      <c r="F5" s="2" t="s">
        <v>30</v>
      </c>
      <c r="G5" s="4">
        <v>4000000.0</v>
      </c>
      <c r="H5" s="2" t="s">
        <v>65</v>
      </c>
      <c r="I5" s="2" t="s">
        <v>66</v>
      </c>
      <c r="J5" s="5">
        <v>60.0</v>
      </c>
      <c r="K5" s="2" t="s">
        <v>67</v>
      </c>
      <c r="L5" s="2" t="s">
        <v>68</v>
      </c>
      <c r="M5" s="2" t="s">
        <v>69</v>
      </c>
      <c r="N5" s="2" t="s">
        <v>70</v>
      </c>
      <c r="O5" s="2" t="s">
        <v>30</v>
      </c>
      <c r="P5" s="2" t="s">
        <v>59</v>
      </c>
      <c r="Q5" s="2" t="s">
        <v>60</v>
      </c>
      <c r="R5" s="6">
        <v>639171111111</v>
      </c>
      <c r="S5" s="2" t="s">
        <v>71</v>
      </c>
      <c r="T5" s="2" t="s">
        <v>39</v>
      </c>
      <c r="U5" s="2" t="s">
        <v>40</v>
      </c>
      <c r="V5" s="2" t="s">
        <v>41</v>
      </c>
      <c r="W5" s="2" t="s">
        <v>42</v>
      </c>
      <c r="X5" s="3">
        <v>46184.73894675926</v>
      </c>
      <c r="Y5" s="7"/>
      <c r="Z5" s="7"/>
      <c r="AA5" s="2" t="s">
        <v>43</v>
      </c>
    </row>
    <row r="6">
      <c r="A6" s="2" t="s">
        <v>72</v>
      </c>
      <c r="B6" s="3">
        <v>46184.739340277774</v>
      </c>
      <c r="C6" s="2" t="s">
        <v>73</v>
      </c>
      <c r="D6" s="2" t="s">
        <v>74</v>
      </c>
      <c r="E6" s="2">
        <v>9.441234567E9</v>
      </c>
      <c r="F6" s="2" t="s">
        <v>30</v>
      </c>
      <c r="G6" s="4">
        <v>1000000.0</v>
      </c>
      <c r="H6" s="2" t="s">
        <v>75</v>
      </c>
      <c r="I6" s="2" t="s">
        <v>76</v>
      </c>
      <c r="J6" s="5">
        <v>25.0</v>
      </c>
      <c r="K6" s="2" t="s">
        <v>77</v>
      </c>
      <c r="L6" s="2" t="s">
        <v>78</v>
      </c>
      <c r="M6" s="2" t="s">
        <v>79</v>
      </c>
      <c r="N6" s="2" t="s">
        <v>80</v>
      </c>
      <c r="O6" s="2" t="s">
        <v>30</v>
      </c>
      <c r="P6" s="2" t="s">
        <v>81</v>
      </c>
      <c r="Q6" s="2" t="s">
        <v>60</v>
      </c>
      <c r="R6" s="6">
        <v>639171111111</v>
      </c>
      <c r="S6" s="2" t="s">
        <v>82</v>
      </c>
      <c r="T6" s="2" t="s">
        <v>39</v>
      </c>
      <c r="U6" s="2" t="s">
        <v>40</v>
      </c>
      <c r="V6" s="2" t="s">
        <v>41</v>
      </c>
      <c r="W6" s="2" t="s">
        <v>42</v>
      </c>
      <c r="X6" s="3">
        <v>46184.73939814815</v>
      </c>
      <c r="Y6" s="7"/>
      <c r="Z6" s="7"/>
      <c r="AA6" s="2" t="s">
        <v>43</v>
      </c>
    </row>
    <row r="7">
      <c r="A7" s="6"/>
      <c r="B7" s="7"/>
      <c r="C7" s="6"/>
      <c r="D7" s="6"/>
      <c r="E7" s="6"/>
      <c r="F7" s="6"/>
      <c r="G7" s="8"/>
      <c r="H7" s="6"/>
      <c r="I7" s="6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7"/>
      <c r="Y7" s="7"/>
      <c r="Z7" s="7"/>
      <c r="AA7" s="6"/>
    </row>
    <row r="8">
      <c r="A8" s="6"/>
      <c r="B8" s="7"/>
      <c r="C8" s="6"/>
      <c r="D8" s="6"/>
      <c r="E8" s="6"/>
      <c r="F8" s="6"/>
      <c r="G8" s="8"/>
      <c r="H8" s="6"/>
      <c r="I8" s="6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7"/>
      <c r="Y8" s="7"/>
      <c r="Z8" s="7"/>
      <c r="AA8" s="6"/>
    </row>
    <row r="9">
      <c r="A9" s="6"/>
      <c r="B9" s="7"/>
      <c r="C9" s="6"/>
      <c r="D9" s="6"/>
      <c r="E9" s="6"/>
      <c r="F9" s="6"/>
      <c r="G9" s="8"/>
      <c r="H9" s="6"/>
      <c r="I9" s="6"/>
      <c r="J9" s="9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"/>
      <c r="Y9" s="7"/>
      <c r="Z9" s="7"/>
      <c r="AA9" s="6"/>
    </row>
    <row r="10">
      <c r="A10" s="6"/>
      <c r="B10" s="7"/>
      <c r="C10" s="6"/>
      <c r="D10" s="6"/>
      <c r="E10" s="6"/>
      <c r="F10" s="6"/>
      <c r="G10" s="8"/>
      <c r="H10" s="6"/>
      <c r="I10" s="6"/>
      <c r="J10" s="9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7"/>
      <c r="Y10" s="7"/>
      <c r="Z10" s="7"/>
      <c r="AA10" s="6"/>
    </row>
    <row r="11">
      <c r="A11" s="6"/>
      <c r="B11" s="7"/>
      <c r="C11" s="6"/>
      <c r="D11" s="6"/>
      <c r="E11" s="6"/>
      <c r="F11" s="6"/>
      <c r="G11" s="8"/>
      <c r="H11" s="6"/>
      <c r="I11" s="6"/>
      <c r="J11" s="9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7"/>
      <c r="Y11" s="7"/>
      <c r="Z11" s="7"/>
      <c r="AA11" s="6"/>
    </row>
    <row r="12">
      <c r="A12" s="6"/>
      <c r="B12" s="7"/>
      <c r="C12" s="6"/>
      <c r="D12" s="6"/>
      <c r="E12" s="6"/>
      <c r="F12" s="6"/>
      <c r="G12" s="8"/>
      <c r="H12" s="6"/>
      <c r="I12" s="6"/>
      <c r="J12" s="9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  <c r="Y12" s="7"/>
      <c r="Z12" s="7"/>
      <c r="AA12" s="6"/>
    </row>
    <row r="13">
      <c r="A13" s="6"/>
      <c r="B13" s="7"/>
      <c r="C13" s="6"/>
      <c r="D13" s="6"/>
      <c r="E13" s="6"/>
      <c r="F13" s="6"/>
      <c r="G13" s="8"/>
      <c r="H13" s="6"/>
      <c r="I13" s="6"/>
      <c r="J13" s="9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7"/>
      <c r="Y13" s="7"/>
      <c r="Z13" s="7"/>
      <c r="AA13" s="6"/>
    </row>
    <row r="14">
      <c r="A14" s="6"/>
      <c r="B14" s="7"/>
      <c r="C14" s="6"/>
      <c r="D14" s="6"/>
      <c r="E14" s="6"/>
      <c r="F14" s="6"/>
      <c r="G14" s="8"/>
      <c r="H14" s="6"/>
      <c r="I14" s="6"/>
      <c r="J14" s="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  <c r="Y14" s="7"/>
      <c r="Z14" s="7"/>
      <c r="AA14" s="6"/>
    </row>
    <row r="15">
      <c r="A15" s="6"/>
      <c r="B15" s="7"/>
      <c r="C15" s="6"/>
      <c r="D15" s="6"/>
      <c r="E15" s="6"/>
      <c r="F15" s="6"/>
      <c r="G15" s="8"/>
      <c r="H15" s="6"/>
      <c r="I15" s="6"/>
      <c r="J15" s="9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  <c r="Y15" s="7"/>
      <c r="Z15" s="7"/>
      <c r="AA15" s="6"/>
    </row>
    <row r="16">
      <c r="A16" s="6"/>
      <c r="B16" s="7"/>
      <c r="C16" s="6"/>
      <c r="D16" s="6"/>
      <c r="E16" s="6"/>
      <c r="F16" s="6"/>
      <c r="G16" s="8"/>
      <c r="H16" s="6"/>
      <c r="I16" s="6"/>
      <c r="J16" s="9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"/>
      <c r="Y16" s="7"/>
      <c r="Z16" s="7"/>
      <c r="AA16" s="6"/>
    </row>
    <row r="17">
      <c r="A17" s="6"/>
      <c r="B17" s="7"/>
      <c r="C17" s="6"/>
      <c r="D17" s="6"/>
      <c r="E17" s="6"/>
      <c r="F17" s="6"/>
      <c r="G17" s="8"/>
      <c r="H17" s="6"/>
      <c r="I17" s="6"/>
      <c r="J17" s="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"/>
      <c r="Y17" s="7"/>
      <c r="Z17" s="7"/>
      <c r="AA17" s="6"/>
    </row>
    <row r="18">
      <c r="A18" s="6"/>
      <c r="B18" s="7"/>
      <c r="C18" s="6"/>
      <c r="D18" s="6"/>
      <c r="E18" s="6"/>
      <c r="F18" s="6"/>
      <c r="G18" s="8"/>
      <c r="H18" s="6"/>
      <c r="I18" s="6"/>
      <c r="J18" s="9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7"/>
      <c r="Z18" s="7"/>
      <c r="AA18" s="6"/>
    </row>
    <row r="19">
      <c r="A19" s="6"/>
      <c r="B19" s="7"/>
      <c r="C19" s="6"/>
      <c r="D19" s="6"/>
      <c r="E19" s="6"/>
      <c r="F19" s="6"/>
      <c r="G19" s="8"/>
      <c r="H19" s="6"/>
      <c r="I19" s="6"/>
      <c r="J19" s="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7"/>
      <c r="Y19" s="7"/>
      <c r="Z19" s="7"/>
      <c r="AA19" s="6"/>
    </row>
    <row r="20">
      <c r="A20" s="6"/>
      <c r="B20" s="7"/>
      <c r="C20" s="6"/>
      <c r="D20" s="6"/>
      <c r="E20" s="6"/>
      <c r="F20" s="6"/>
      <c r="G20" s="8"/>
      <c r="H20" s="6"/>
      <c r="I20" s="6"/>
      <c r="J20" s="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"/>
      <c r="Y20" s="7"/>
      <c r="Z20" s="7"/>
      <c r="AA20" s="6"/>
    </row>
    <row r="21" ht="15.75" customHeight="1">
      <c r="A21" s="6"/>
      <c r="B21" s="7"/>
      <c r="C21" s="6"/>
      <c r="D21" s="6"/>
      <c r="E21" s="6"/>
      <c r="F21" s="6"/>
      <c r="G21" s="8"/>
      <c r="H21" s="6"/>
      <c r="I21" s="6"/>
      <c r="J21" s="9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7"/>
      <c r="Y21" s="7"/>
      <c r="Z21" s="7"/>
      <c r="AA21" s="6"/>
    </row>
    <row r="22" ht="15.75" customHeight="1">
      <c r="A22" s="6"/>
      <c r="B22" s="7"/>
      <c r="C22" s="6"/>
      <c r="D22" s="6"/>
      <c r="E22" s="6"/>
      <c r="F22" s="6"/>
      <c r="G22" s="8"/>
      <c r="H22" s="6"/>
      <c r="I22" s="6"/>
      <c r="J22" s="9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"/>
      <c r="Y22" s="7"/>
      <c r="Z22" s="7"/>
      <c r="AA22" s="6"/>
    </row>
    <row r="23" ht="15.75" customHeight="1">
      <c r="A23" s="6"/>
      <c r="B23" s="7"/>
      <c r="C23" s="6"/>
      <c r="D23" s="6"/>
      <c r="E23" s="6"/>
      <c r="F23" s="6"/>
      <c r="G23" s="8"/>
      <c r="H23" s="6"/>
      <c r="I23" s="6"/>
      <c r="J23" s="9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7"/>
      <c r="Y23" s="7"/>
      <c r="Z23" s="7"/>
      <c r="AA23" s="6"/>
    </row>
    <row r="24" ht="15.75" customHeight="1">
      <c r="A24" s="6"/>
      <c r="B24" s="7"/>
      <c r="C24" s="6"/>
      <c r="D24" s="6"/>
      <c r="E24" s="6"/>
      <c r="F24" s="6"/>
      <c r="G24" s="8"/>
      <c r="H24" s="6"/>
      <c r="I24" s="6"/>
      <c r="J24" s="9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7"/>
      <c r="Y24" s="7"/>
      <c r="Z24" s="7"/>
      <c r="AA24" s="6"/>
    </row>
    <row r="25" ht="15.75" customHeight="1">
      <c r="A25" s="6"/>
      <c r="B25" s="7"/>
      <c r="C25" s="6"/>
      <c r="D25" s="6"/>
      <c r="E25" s="6"/>
      <c r="F25" s="6"/>
      <c r="G25" s="8"/>
      <c r="H25" s="6"/>
      <c r="I25" s="6"/>
      <c r="J25" s="9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7"/>
      <c r="Y25" s="7"/>
      <c r="Z25" s="7"/>
      <c r="AA25" s="6"/>
    </row>
    <row r="26" ht="15.75" customHeight="1">
      <c r="A26" s="6"/>
      <c r="B26" s="7"/>
      <c r="C26" s="6"/>
      <c r="D26" s="6"/>
      <c r="E26" s="6"/>
      <c r="F26" s="6"/>
      <c r="G26" s="8"/>
      <c r="H26" s="6"/>
      <c r="I26" s="6"/>
      <c r="J26" s="9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7"/>
      <c r="Y26" s="7"/>
      <c r="Z26" s="7"/>
      <c r="AA26" s="6"/>
    </row>
    <row r="27" ht="15.75" customHeight="1">
      <c r="A27" s="6"/>
      <c r="B27" s="7"/>
      <c r="C27" s="6"/>
      <c r="D27" s="6"/>
      <c r="E27" s="6"/>
      <c r="F27" s="6"/>
      <c r="G27" s="8"/>
      <c r="H27" s="6"/>
      <c r="I27" s="6"/>
      <c r="J27" s="9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7"/>
      <c r="Y27" s="7"/>
      <c r="Z27" s="7"/>
      <c r="AA27" s="6"/>
    </row>
    <row r="28" ht="15.75" customHeight="1">
      <c r="A28" s="6"/>
      <c r="B28" s="7"/>
      <c r="C28" s="6"/>
      <c r="D28" s="6"/>
      <c r="E28" s="6"/>
      <c r="F28" s="6"/>
      <c r="G28" s="8"/>
      <c r="H28" s="6"/>
      <c r="I28" s="6"/>
      <c r="J28" s="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7"/>
      <c r="Y28" s="7"/>
      <c r="Z28" s="7"/>
      <c r="AA28" s="6"/>
    </row>
    <row r="29" ht="15.75" customHeight="1">
      <c r="A29" s="6"/>
      <c r="B29" s="7"/>
      <c r="C29" s="6"/>
      <c r="D29" s="6"/>
      <c r="E29" s="6"/>
      <c r="F29" s="6"/>
      <c r="G29" s="8"/>
      <c r="H29" s="6"/>
      <c r="I29" s="6"/>
      <c r="J29" s="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7"/>
      <c r="Y29" s="7"/>
      <c r="Z29" s="7"/>
      <c r="AA29" s="6"/>
    </row>
    <row r="30" ht="15.75" customHeight="1">
      <c r="A30" s="6"/>
      <c r="B30" s="7"/>
      <c r="C30" s="6"/>
      <c r="D30" s="6"/>
      <c r="E30" s="6"/>
      <c r="F30" s="6"/>
      <c r="G30" s="8"/>
      <c r="H30" s="6"/>
      <c r="I30" s="6"/>
      <c r="J30" s="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7"/>
      <c r="Y30" s="7"/>
      <c r="Z30" s="7"/>
      <c r="AA30" s="6"/>
    </row>
    <row r="31" ht="15.75" customHeight="1">
      <c r="A31" s="6"/>
      <c r="B31" s="7"/>
      <c r="C31" s="6"/>
      <c r="D31" s="6"/>
      <c r="E31" s="6"/>
      <c r="F31" s="6"/>
      <c r="G31" s="8"/>
      <c r="H31" s="6"/>
      <c r="I31" s="6"/>
      <c r="J31" s="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7"/>
      <c r="Y31" s="7"/>
      <c r="Z31" s="7"/>
      <c r="AA31" s="6"/>
    </row>
    <row r="32" ht="15.75" customHeight="1">
      <c r="A32" s="6"/>
      <c r="B32" s="7"/>
      <c r="C32" s="6"/>
      <c r="D32" s="6"/>
      <c r="E32" s="6"/>
      <c r="F32" s="6"/>
      <c r="G32" s="8"/>
      <c r="H32" s="6"/>
      <c r="I32" s="6"/>
      <c r="J32" s="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7"/>
      <c r="Y32" s="7"/>
      <c r="Z32" s="7"/>
      <c r="AA32" s="6"/>
    </row>
    <row r="33" ht="15.75" customHeight="1">
      <c r="A33" s="6"/>
      <c r="B33" s="7"/>
      <c r="C33" s="6"/>
      <c r="D33" s="6"/>
      <c r="E33" s="6"/>
      <c r="F33" s="6"/>
      <c r="G33" s="8"/>
      <c r="H33" s="6"/>
      <c r="I33" s="6"/>
      <c r="J33" s="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7"/>
      <c r="Y33" s="7"/>
      <c r="Z33" s="7"/>
      <c r="AA33" s="6"/>
    </row>
    <row r="34" ht="15.75" customHeight="1">
      <c r="A34" s="6"/>
      <c r="B34" s="7"/>
      <c r="C34" s="6"/>
      <c r="D34" s="6"/>
      <c r="E34" s="6"/>
      <c r="F34" s="6"/>
      <c r="G34" s="8"/>
      <c r="H34" s="6"/>
      <c r="I34" s="6"/>
      <c r="J34" s="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7"/>
      <c r="Y34" s="7"/>
      <c r="Z34" s="7"/>
      <c r="AA34" s="6"/>
    </row>
    <row r="35" ht="15.75" customHeight="1">
      <c r="A35" s="6"/>
      <c r="B35" s="7"/>
      <c r="C35" s="6"/>
      <c r="D35" s="6"/>
      <c r="E35" s="6"/>
      <c r="F35" s="6"/>
      <c r="G35" s="8"/>
      <c r="H35" s="6"/>
      <c r="I35" s="6"/>
      <c r="J35" s="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7"/>
      <c r="Y35" s="7"/>
      <c r="Z35" s="7"/>
      <c r="AA35" s="6"/>
    </row>
    <row r="36" ht="15.75" customHeight="1">
      <c r="A36" s="6"/>
      <c r="B36" s="7"/>
      <c r="C36" s="6"/>
      <c r="D36" s="6"/>
      <c r="E36" s="6"/>
      <c r="F36" s="6"/>
      <c r="G36" s="8"/>
      <c r="H36" s="6"/>
      <c r="I36" s="6"/>
      <c r="J36" s="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7"/>
      <c r="Y36" s="7"/>
      <c r="Z36" s="7"/>
      <c r="AA36" s="6"/>
    </row>
    <row r="37" ht="15.75" customHeight="1">
      <c r="A37" s="6"/>
      <c r="B37" s="7"/>
      <c r="C37" s="6"/>
      <c r="D37" s="6"/>
      <c r="E37" s="6"/>
      <c r="F37" s="6"/>
      <c r="G37" s="8"/>
      <c r="H37" s="6"/>
      <c r="I37" s="6"/>
      <c r="J37" s="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7"/>
      <c r="Y37" s="7"/>
      <c r="Z37" s="7"/>
      <c r="AA37" s="6"/>
    </row>
    <row r="38" ht="15.75" customHeight="1">
      <c r="A38" s="6"/>
      <c r="B38" s="7"/>
      <c r="C38" s="6"/>
      <c r="D38" s="6"/>
      <c r="E38" s="6"/>
      <c r="F38" s="6"/>
      <c r="G38" s="8"/>
      <c r="H38" s="6"/>
      <c r="I38" s="6"/>
      <c r="J38" s="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"/>
      <c r="Y38" s="7"/>
      <c r="Z38" s="7"/>
      <c r="AA38" s="6"/>
    </row>
    <row r="39" ht="15.75" customHeight="1">
      <c r="A39" s="6"/>
      <c r="B39" s="7"/>
      <c r="C39" s="6"/>
      <c r="D39" s="6"/>
      <c r="E39" s="6"/>
      <c r="F39" s="6"/>
      <c r="G39" s="8"/>
      <c r="H39" s="6"/>
      <c r="I39" s="6"/>
      <c r="J39" s="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7"/>
      <c r="Y39" s="7"/>
      <c r="Z39" s="7"/>
      <c r="AA39" s="6"/>
    </row>
    <row r="40" ht="15.75" customHeight="1">
      <c r="A40" s="6"/>
      <c r="B40" s="7"/>
      <c r="C40" s="6"/>
      <c r="D40" s="6"/>
      <c r="E40" s="6"/>
      <c r="F40" s="6"/>
      <c r="G40" s="8"/>
      <c r="H40" s="6"/>
      <c r="I40" s="6"/>
      <c r="J40" s="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7"/>
      <c r="Y40" s="7"/>
      <c r="Z40" s="7"/>
      <c r="AA40" s="6"/>
    </row>
    <row r="41" ht="15.75" customHeight="1">
      <c r="A41" s="6"/>
      <c r="B41" s="7"/>
      <c r="C41" s="6"/>
      <c r="D41" s="6"/>
      <c r="E41" s="6"/>
      <c r="F41" s="6"/>
      <c r="G41" s="8"/>
      <c r="H41" s="6"/>
      <c r="I41" s="6"/>
      <c r="J41" s="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7"/>
      <c r="Y41" s="7"/>
      <c r="Z41" s="7"/>
      <c r="AA41" s="6"/>
    </row>
    <row r="42" ht="15.75" customHeight="1">
      <c r="A42" s="6"/>
      <c r="B42" s="7"/>
      <c r="C42" s="6"/>
      <c r="D42" s="6"/>
      <c r="E42" s="6"/>
      <c r="F42" s="6"/>
      <c r="G42" s="8"/>
      <c r="H42" s="6"/>
      <c r="I42" s="6"/>
      <c r="J42" s="9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7"/>
      <c r="AA42" s="6"/>
    </row>
    <row r="43" ht="15.75" customHeight="1">
      <c r="A43" s="6"/>
      <c r="B43" s="7"/>
      <c r="C43" s="6"/>
      <c r="D43" s="6"/>
      <c r="E43" s="6"/>
      <c r="F43" s="6"/>
      <c r="G43" s="8"/>
      <c r="H43" s="6"/>
      <c r="I43" s="6"/>
      <c r="J43" s="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7"/>
      <c r="Y43" s="7"/>
      <c r="Z43" s="7"/>
      <c r="AA43" s="6"/>
    </row>
    <row r="44" ht="15.75" customHeight="1">
      <c r="A44" s="6"/>
      <c r="B44" s="7"/>
      <c r="C44" s="6"/>
      <c r="D44" s="6"/>
      <c r="E44" s="6"/>
      <c r="F44" s="6"/>
      <c r="G44" s="8"/>
      <c r="H44" s="6"/>
      <c r="I44" s="6"/>
      <c r="J44" s="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7"/>
      <c r="Y44" s="7"/>
      <c r="Z44" s="7"/>
      <c r="AA44" s="6"/>
    </row>
    <row r="45" ht="15.75" customHeight="1">
      <c r="A45" s="6"/>
      <c r="B45" s="7"/>
      <c r="C45" s="6"/>
      <c r="D45" s="6"/>
      <c r="E45" s="6"/>
      <c r="F45" s="6"/>
      <c r="G45" s="8"/>
      <c r="H45" s="6"/>
      <c r="I45" s="6"/>
      <c r="J45" s="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7"/>
      <c r="Y45" s="7"/>
      <c r="Z45" s="7"/>
      <c r="AA45" s="6"/>
    </row>
    <row r="46" ht="15.75" customHeight="1">
      <c r="A46" s="6"/>
      <c r="B46" s="7"/>
      <c r="C46" s="6"/>
      <c r="D46" s="6"/>
      <c r="E46" s="6"/>
      <c r="F46" s="6"/>
      <c r="G46" s="8"/>
      <c r="H46" s="6"/>
      <c r="I46" s="6"/>
      <c r="J46" s="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7"/>
      <c r="Y46" s="7"/>
      <c r="Z46" s="7"/>
      <c r="AA46" s="6"/>
    </row>
    <row r="47" ht="15.75" customHeight="1">
      <c r="A47" s="6"/>
      <c r="B47" s="7"/>
      <c r="C47" s="6"/>
      <c r="D47" s="6"/>
      <c r="E47" s="6"/>
      <c r="F47" s="6"/>
      <c r="G47" s="8"/>
      <c r="H47" s="6"/>
      <c r="I47" s="6"/>
      <c r="J47" s="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7"/>
      <c r="Y47" s="7"/>
      <c r="Z47" s="7"/>
      <c r="AA47" s="6"/>
    </row>
    <row r="48" ht="15.75" customHeight="1">
      <c r="A48" s="6"/>
      <c r="B48" s="7"/>
      <c r="C48" s="6"/>
      <c r="D48" s="6"/>
      <c r="E48" s="6"/>
      <c r="F48" s="6"/>
      <c r="G48" s="8"/>
      <c r="H48" s="6"/>
      <c r="I48" s="6"/>
      <c r="J48" s="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7"/>
      <c r="Y48" s="7"/>
      <c r="Z48" s="7"/>
      <c r="AA48" s="6"/>
    </row>
    <row r="49" ht="15.75" customHeight="1">
      <c r="A49" s="6"/>
      <c r="B49" s="7"/>
      <c r="C49" s="6"/>
      <c r="D49" s="6"/>
      <c r="E49" s="6"/>
      <c r="F49" s="6"/>
      <c r="G49" s="8"/>
      <c r="H49" s="6"/>
      <c r="I49" s="6"/>
      <c r="J49" s="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7"/>
      <c r="Y49" s="7"/>
      <c r="Z49" s="7"/>
      <c r="AA49" s="6"/>
    </row>
    <row r="50" ht="15.75" customHeight="1">
      <c r="A50" s="6"/>
      <c r="B50" s="7"/>
      <c r="C50" s="6"/>
      <c r="D50" s="6"/>
      <c r="E50" s="6"/>
      <c r="F50" s="6"/>
      <c r="G50" s="8"/>
      <c r="H50" s="6"/>
      <c r="I50" s="6"/>
      <c r="J50" s="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7"/>
      <c r="Y50" s="7"/>
      <c r="Z50" s="7"/>
      <c r="AA50" s="6"/>
    </row>
    <row r="51" ht="15.75" customHeight="1">
      <c r="A51" s="6"/>
      <c r="B51" s="7"/>
      <c r="C51" s="6"/>
      <c r="D51" s="6"/>
      <c r="E51" s="6"/>
      <c r="F51" s="6"/>
      <c r="G51" s="8"/>
      <c r="H51" s="6"/>
      <c r="I51" s="6"/>
      <c r="J51" s="9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7"/>
      <c r="Y51" s="7"/>
      <c r="Z51" s="7"/>
      <c r="AA51" s="6"/>
    </row>
    <row r="52" ht="15.75" customHeight="1">
      <c r="A52" s="6"/>
      <c r="B52" s="7"/>
      <c r="C52" s="6"/>
      <c r="D52" s="6"/>
      <c r="E52" s="6"/>
      <c r="F52" s="6"/>
      <c r="G52" s="8"/>
      <c r="H52" s="6"/>
      <c r="I52" s="6"/>
      <c r="J52" s="9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7"/>
      <c r="Y52" s="7"/>
      <c r="Z52" s="7"/>
      <c r="AA52" s="6"/>
    </row>
    <row r="53" ht="15.75" customHeight="1">
      <c r="A53" s="6"/>
      <c r="B53" s="7"/>
      <c r="C53" s="6"/>
      <c r="D53" s="6"/>
      <c r="E53" s="6"/>
      <c r="F53" s="6"/>
      <c r="G53" s="8"/>
      <c r="H53" s="6"/>
      <c r="I53" s="6"/>
      <c r="J53" s="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7"/>
      <c r="Y53" s="7"/>
      <c r="Z53" s="7"/>
      <c r="AA53" s="6"/>
    </row>
    <row r="54" ht="15.75" customHeight="1">
      <c r="A54" s="6"/>
      <c r="B54" s="7"/>
      <c r="C54" s="6"/>
      <c r="D54" s="6"/>
      <c r="E54" s="6"/>
      <c r="F54" s="6"/>
      <c r="G54" s="8"/>
      <c r="H54" s="6"/>
      <c r="I54" s="6"/>
      <c r="J54" s="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7"/>
      <c r="Y54" s="7"/>
      <c r="Z54" s="7"/>
      <c r="AA54" s="6"/>
    </row>
    <row r="55" ht="15.75" customHeight="1">
      <c r="A55" s="6"/>
      <c r="B55" s="7"/>
      <c r="C55" s="6"/>
      <c r="D55" s="6"/>
      <c r="E55" s="6"/>
      <c r="F55" s="6"/>
      <c r="G55" s="8"/>
      <c r="H55" s="6"/>
      <c r="I55" s="6"/>
      <c r="J55" s="9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7"/>
      <c r="Y55" s="7"/>
      <c r="Z55" s="7"/>
      <c r="AA55" s="6"/>
    </row>
    <row r="56" ht="15.75" customHeight="1">
      <c r="A56" s="6"/>
      <c r="B56" s="7"/>
      <c r="C56" s="6"/>
      <c r="D56" s="6"/>
      <c r="E56" s="6"/>
      <c r="F56" s="6"/>
      <c r="G56" s="8"/>
      <c r="H56" s="6"/>
      <c r="I56" s="6"/>
      <c r="J56" s="9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7"/>
      <c r="Y56" s="7"/>
      <c r="Z56" s="7"/>
      <c r="AA56" s="6"/>
    </row>
    <row r="57" ht="15.75" customHeight="1">
      <c r="A57" s="6"/>
      <c r="B57" s="7"/>
      <c r="C57" s="6"/>
      <c r="D57" s="6"/>
      <c r="E57" s="6"/>
      <c r="F57" s="6"/>
      <c r="G57" s="8"/>
      <c r="H57" s="6"/>
      <c r="I57" s="6"/>
      <c r="J57" s="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7"/>
      <c r="Y57" s="7"/>
      <c r="Z57" s="7"/>
      <c r="AA57" s="6"/>
    </row>
    <row r="58" ht="15.75" customHeight="1">
      <c r="A58" s="6"/>
      <c r="B58" s="7"/>
      <c r="C58" s="6"/>
      <c r="D58" s="6"/>
      <c r="E58" s="6"/>
      <c r="F58" s="6"/>
      <c r="G58" s="8"/>
      <c r="H58" s="6"/>
      <c r="I58" s="6"/>
      <c r="J58" s="9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7"/>
      <c r="Y58" s="7"/>
      <c r="Z58" s="7"/>
      <c r="AA58" s="6"/>
    </row>
    <row r="59" ht="15.75" customHeight="1">
      <c r="A59" s="6"/>
      <c r="B59" s="7"/>
      <c r="C59" s="6"/>
      <c r="D59" s="6"/>
      <c r="E59" s="6"/>
      <c r="F59" s="6"/>
      <c r="G59" s="8"/>
      <c r="H59" s="6"/>
      <c r="I59" s="6"/>
      <c r="J59" s="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7"/>
      <c r="Y59" s="7"/>
      <c r="Z59" s="7"/>
      <c r="AA59" s="6"/>
    </row>
    <row r="60" ht="15.75" customHeight="1">
      <c r="A60" s="6"/>
      <c r="B60" s="7"/>
      <c r="C60" s="6"/>
      <c r="D60" s="6"/>
      <c r="E60" s="6"/>
      <c r="F60" s="6"/>
      <c r="G60" s="8"/>
      <c r="H60" s="6"/>
      <c r="I60" s="6"/>
      <c r="J60" s="9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7"/>
      <c r="Y60" s="7"/>
      <c r="Z60" s="7"/>
      <c r="AA60" s="6"/>
    </row>
    <row r="61" ht="15.75" customHeight="1">
      <c r="A61" s="6"/>
      <c r="B61" s="7"/>
      <c r="C61" s="6"/>
      <c r="D61" s="6"/>
      <c r="E61" s="6"/>
      <c r="F61" s="6"/>
      <c r="G61" s="8"/>
      <c r="H61" s="6"/>
      <c r="I61" s="6"/>
      <c r="J61" s="9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7"/>
      <c r="Y61" s="7"/>
      <c r="Z61" s="7"/>
      <c r="AA61" s="6"/>
    </row>
    <row r="62" ht="15.75" customHeight="1">
      <c r="A62" s="6"/>
      <c r="B62" s="7"/>
      <c r="C62" s="6"/>
      <c r="D62" s="6"/>
      <c r="E62" s="6"/>
      <c r="F62" s="6"/>
      <c r="G62" s="8"/>
      <c r="H62" s="6"/>
      <c r="I62" s="6"/>
      <c r="J62" s="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7"/>
      <c r="Y62" s="7"/>
      <c r="Z62" s="7"/>
      <c r="AA62" s="6"/>
    </row>
    <row r="63" ht="15.75" customHeight="1">
      <c r="A63" s="6"/>
      <c r="B63" s="7"/>
      <c r="C63" s="6"/>
      <c r="D63" s="6"/>
      <c r="E63" s="6"/>
      <c r="F63" s="6"/>
      <c r="G63" s="8"/>
      <c r="H63" s="6"/>
      <c r="I63" s="6"/>
      <c r="J63" s="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7"/>
      <c r="Y63" s="7"/>
      <c r="Z63" s="7"/>
      <c r="AA63" s="6"/>
    </row>
    <row r="64" ht="15.75" customHeight="1">
      <c r="A64" s="6"/>
      <c r="B64" s="7"/>
      <c r="C64" s="6"/>
      <c r="D64" s="6"/>
      <c r="E64" s="6"/>
      <c r="F64" s="6"/>
      <c r="G64" s="8"/>
      <c r="H64" s="6"/>
      <c r="I64" s="6"/>
      <c r="J64" s="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7"/>
      <c r="Y64" s="7"/>
      <c r="Z64" s="7"/>
      <c r="AA64" s="6"/>
    </row>
    <row r="65" ht="15.75" customHeight="1">
      <c r="A65" s="6"/>
      <c r="B65" s="7"/>
      <c r="C65" s="6"/>
      <c r="D65" s="6"/>
      <c r="E65" s="6"/>
      <c r="F65" s="6"/>
      <c r="G65" s="8"/>
      <c r="H65" s="6"/>
      <c r="I65" s="6"/>
      <c r="J65" s="9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7"/>
      <c r="Y65" s="7"/>
      <c r="Z65" s="7"/>
      <c r="AA65" s="6"/>
    </row>
    <row r="66" ht="15.75" customHeight="1">
      <c r="A66" s="6"/>
      <c r="B66" s="7"/>
      <c r="C66" s="6"/>
      <c r="D66" s="6"/>
      <c r="E66" s="6"/>
      <c r="F66" s="6"/>
      <c r="G66" s="8"/>
      <c r="H66" s="6"/>
      <c r="I66" s="6"/>
      <c r="J66" s="9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7"/>
      <c r="Y66" s="7"/>
      <c r="Z66" s="7"/>
      <c r="AA66" s="6"/>
    </row>
    <row r="67" ht="15.75" customHeight="1">
      <c r="A67" s="6"/>
      <c r="B67" s="7"/>
      <c r="C67" s="6"/>
      <c r="D67" s="6"/>
      <c r="E67" s="6"/>
      <c r="F67" s="6"/>
      <c r="G67" s="8"/>
      <c r="H67" s="6"/>
      <c r="I67" s="6"/>
      <c r="J67" s="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7"/>
      <c r="Y67" s="7"/>
      <c r="Z67" s="7"/>
      <c r="AA67" s="6"/>
    </row>
    <row r="68" ht="15.75" customHeight="1">
      <c r="A68" s="6"/>
      <c r="B68" s="7"/>
      <c r="C68" s="6"/>
      <c r="D68" s="6"/>
      <c r="E68" s="6"/>
      <c r="F68" s="6"/>
      <c r="G68" s="8"/>
      <c r="H68" s="6"/>
      <c r="I68" s="6"/>
      <c r="J68" s="9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7"/>
      <c r="Y68" s="7"/>
      <c r="Z68" s="7"/>
      <c r="AA68" s="6"/>
    </row>
    <row r="69" ht="15.75" customHeight="1">
      <c r="A69" s="6"/>
      <c r="B69" s="7"/>
      <c r="C69" s="6"/>
      <c r="D69" s="6"/>
      <c r="E69" s="6"/>
      <c r="F69" s="6"/>
      <c r="G69" s="8"/>
      <c r="H69" s="6"/>
      <c r="I69" s="6"/>
      <c r="J69" s="9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7"/>
      <c r="Y69" s="7"/>
      <c r="Z69" s="7"/>
      <c r="AA69" s="6"/>
    </row>
    <row r="70" ht="15.75" customHeight="1">
      <c r="A70" s="6"/>
      <c r="B70" s="7"/>
      <c r="C70" s="6"/>
      <c r="D70" s="6"/>
      <c r="E70" s="6"/>
      <c r="F70" s="6"/>
      <c r="G70" s="8"/>
      <c r="H70" s="6"/>
      <c r="I70" s="6"/>
      <c r="J70" s="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7"/>
      <c r="Y70" s="7"/>
      <c r="Z70" s="7"/>
      <c r="AA70" s="6"/>
    </row>
    <row r="71" ht="15.75" customHeight="1">
      <c r="A71" s="6"/>
      <c r="B71" s="7"/>
      <c r="C71" s="6"/>
      <c r="D71" s="6"/>
      <c r="E71" s="6"/>
      <c r="F71" s="6"/>
      <c r="G71" s="8"/>
      <c r="H71" s="6"/>
      <c r="I71" s="6"/>
      <c r="J71" s="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7"/>
      <c r="Y71" s="7"/>
      <c r="Z71" s="7"/>
      <c r="AA71" s="6"/>
    </row>
    <row r="72" ht="15.75" customHeight="1">
      <c r="A72" s="6"/>
      <c r="B72" s="7"/>
      <c r="C72" s="6"/>
      <c r="D72" s="6"/>
      <c r="E72" s="6"/>
      <c r="F72" s="6"/>
      <c r="G72" s="8"/>
      <c r="H72" s="6"/>
      <c r="I72" s="6"/>
      <c r="J72" s="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7"/>
      <c r="Y72" s="7"/>
      <c r="Z72" s="7"/>
      <c r="AA72" s="6"/>
    </row>
    <row r="73" ht="15.75" customHeight="1">
      <c r="A73" s="6"/>
      <c r="B73" s="7"/>
      <c r="C73" s="6"/>
      <c r="D73" s="6"/>
      <c r="E73" s="6"/>
      <c r="F73" s="6"/>
      <c r="G73" s="8"/>
      <c r="H73" s="6"/>
      <c r="I73" s="6"/>
      <c r="J73" s="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7"/>
      <c r="Y73" s="7"/>
      <c r="Z73" s="7"/>
      <c r="AA73" s="6"/>
    </row>
    <row r="74" ht="15.75" customHeight="1">
      <c r="A74" s="6"/>
      <c r="B74" s="7"/>
      <c r="C74" s="6"/>
      <c r="D74" s="6"/>
      <c r="E74" s="6"/>
      <c r="F74" s="6"/>
      <c r="G74" s="8"/>
      <c r="H74" s="6"/>
      <c r="I74" s="6"/>
      <c r="J74" s="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7"/>
      <c r="Y74" s="7"/>
      <c r="Z74" s="7"/>
      <c r="AA74" s="6"/>
    </row>
    <row r="75" ht="15.75" customHeight="1">
      <c r="A75" s="6"/>
      <c r="B75" s="7"/>
      <c r="C75" s="6"/>
      <c r="D75" s="6"/>
      <c r="E75" s="6"/>
      <c r="F75" s="6"/>
      <c r="G75" s="8"/>
      <c r="H75" s="6"/>
      <c r="I75" s="6"/>
      <c r="J75" s="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7"/>
      <c r="Y75" s="7"/>
      <c r="Z75" s="7"/>
      <c r="AA75" s="6"/>
    </row>
    <row r="76" ht="15.75" customHeight="1">
      <c r="A76" s="6"/>
      <c r="B76" s="7"/>
      <c r="C76" s="6"/>
      <c r="D76" s="6"/>
      <c r="E76" s="6"/>
      <c r="F76" s="6"/>
      <c r="G76" s="8"/>
      <c r="H76" s="6"/>
      <c r="I76" s="6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7"/>
      <c r="Y76" s="7"/>
      <c r="Z76" s="7"/>
      <c r="AA76" s="6"/>
    </row>
    <row r="77" ht="15.75" customHeight="1">
      <c r="A77" s="6"/>
      <c r="B77" s="7"/>
      <c r="C77" s="6"/>
      <c r="D77" s="6"/>
      <c r="E77" s="6"/>
      <c r="F77" s="6"/>
      <c r="G77" s="8"/>
      <c r="H77" s="6"/>
      <c r="I77" s="6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7"/>
      <c r="Y77" s="7"/>
      <c r="Z77" s="7"/>
      <c r="AA77" s="6"/>
    </row>
    <row r="78" ht="15.75" customHeight="1">
      <c r="A78" s="6"/>
      <c r="B78" s="7"/>
      <c r="C78" s="6"/>
      <c r="D78" s="6"/>
      <c r="E78" s="6"/>
      <c r="F78" s="6"/>
      <c r="G78" s="8"/>
      <c r="H78" s="6"/>
      <c r="I78" s="6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7"/>
      <c r="Y78" s="7"/>
      <c r="Z78" s="7"/>
      <c r="AA78" s="6"/>
    </row>
    <row r="79" ht="15.75" customHeight="1">
      <c r="A79" s="6"/>
      <c r="B79" s="7"/>
      <c r="C79" s="6"/>
      <c r="D79" s="6"/>
      <c r="E79" s="6"/>
      <c r="F79" s="6"/>
      <c r="G79" s="8"/>
      <c r="H79" s="6"/>
      <c r="I79" s="6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7"/>
      <c r="Y79" s="7"/>
      <c r="Z79" s="7"/>
      <c r="AA79" s="6"/>
    </row>
    <row r="80" ht="15.75" customHeight="1">
      <c r="A80" s="6"/>
      <c r="B80" s="7"/>
      <c r="C80" s="6"/>
      <c r="D80" s="6"/>
      <c r="E80" s="6"/>
      <c r="F80" s="6"/>
      <c r="G80" s="8"/>
      <c r="H80" s="6"/>
      <c r="I80" s="6"/>
      <c r="J80" s="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7"/>
      <c r="Y80" s="7"/>
      <c r="Z80" s="7"/>
      <c r="AA80" s="6"/>
    </row>
    <row r="81" ht="15.75" customHeight="1">
      <c r="A81" s="6"/>
      <c r="B81" s="7"/>
      <c r="C81" s="6"/>
      <c r="D81" s="6"/>
      <c r="E81" s="6"/>
      <c r="F81" s="6"/>
      <c r="G81" s="8"/>
      <c r="H81" s="6"/>
      <c r="I81" s="6"/>
      <c r="J81" s="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7"/>
      <c r="Y81" s="7"/>
      <c r="Z81" s="7"/>
      <c r="AA81" s="6"/>
    </row>
    <row r="82" ht="15.75" customHeight="1">
      <c r="A82" s="6"/>
      <c r="B82" s="7"/>
      <c r="C82" s="6"/>
      <c r="D82" s="6"/>
      <c r="E82" s="6"/>
      <c r="F82" s="6"/>
      <c r="G82" s="8"/>
      <c r="H82" s="6"/>
      <c r="I82" s="6"/>
      <c r="J82" s="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7"/>
      <c r="Y82" s="7"/>
      <c r="Z82" s="7"/>
      <c r="AA82" s="6"/>
    </row>
    <row r="83" ht="15.75" customHeight="1">
      <c r="A83" s="6"/>
      <c r="B83" s="7"/>
      <c r="C83" s="6"/>
      <c r="D83" s="6"/>
      <c r="E83" s="6"/>
      <c r="F83" s="6"/>
      <c r="G83" s="8"/>
      <c r="H83" s="6"/>
      <c r="I83" s="6"/>
      <c r="J83" s="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7"/>
      <c r="Y83" s="7"/>
      <c r="Z83" s="7"/>
      <c r="AA83" s="6"/>
    </row>
    <row r="84" ht="15.75" customHeight="1">
      <c r="A84" s="6"/>
      <c r="B84" s="7"/>
      <c r="C84" s="6"/>
      <c r="D84" s="6"/>
      <c r="E84" s="6"/>
      <c r="F84" s="6"/>
      <c r="G84" s="8"/>
      <c r="H84" s="6"/>
      <c r="I84" s="6"/>
      <c r="J84" s="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7"/>
      <c r="Y84" s="7"/>
      <c r="Z84" s="7"/>
      <c r="AA84" s="6"/>
    </row>
    <row r="85" ht="15.75" customHeight="1">
      <c r="A85" s="6"/>
      <c r="B85" s="7"/>
      <c r="C85" s="6"/>
      <c r="D85" s="6"/>
      <c r="E85" s="6"/>
      <c r="F85" s="6"/>
      <c r="G85" s="8"/>
      <c r="H85" s="6"/>
      <c r="I85" s="6"/>
      <c r="J85" s="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7"/>
      <c r="Y85" s="7"/>
      <c r="Z85" s="7"/>
      <c r="AA85" s="6"/>
    </row>
    <row r="86" ht="15.75" customHeight="1">
      <c r="A86" s="6"/>
      <c r="B86" s="7"/>
      <c r="C86" s="6"/>
      <c r="D86" s="6"/>
      <c r="E86" s="6"/>
      <c r="F86" s="6"/>
      <c r="G86" s="8"/>
      <c r="H86" s="6"/>
      <c r="I86" s="6"/>
      <c r="J86" s="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7"/>
      <c r="Y86" s="7"/>
      <c r="Z86" s="7"/>
      <c r="AA86" s="6"/>
    </row>
    <row r="87" ht="15.75" customHeight="1">
      <c r="A87" s="6"/>
      <c r="B87" s="7"/>
      <c r="C87" s="6"/>
      <c r="D87" s="6"/>
      <c r="E87" s="6"/>
      <c r="F87" s="6"/>
      <c r="G87" s="8"/>
      <c r="H87" s="6"/>
      <c r="I87" s="6"/>
      <c r="J87" s="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7"/>
      <c r="Y87" s="7"/>
      <c r="Z87" s="7"/>
      <c r="AA87" s="6"/>
    </row>
    <row r="88" ht="15.75" customHeight="1">
      <c r="A88" s="6"/>
      <c r="B88" s="7"/>
      <c r="C88" s="6"/>
      <c r="D88" s="6"/>
      <c r="E88" s="6"/>
      <c r="F88" s="6"/>
      <c r="G88" s="8"/>
      <c r="H88" s="6"/>
      <c r="I88" s="6"/>
      <c r="J88" s="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7"/>
      <c r="Y88" s="7"/>
      <c r="Z88" s="7"/>
      <c r="AA88" s="6"/>
    </row>
    <row r="89" ht="15.75" customHeight="1">
      <c r="A89" s="6"/>
      <c r="B89" s="7"/>
      <c r="C89" s="6"/>
      <c r="D89" s="6"/>
      <c r="E89" s="6"/>
      <c r="F89" s="6"/>
      <c r="G89" s="8"/>
      <c r="H89" s="6"/>
      <c r="I89" s="6"/>
      <c r="J89" s="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7"/>
      <c r="Y89" s="7"/>
      <c r="Z89" s="7"/>
      <c r="AA89" s="6"/>
    </row>
    <row r="90" ht="15.75" customHeight="1">
      <c r="A90" s="6"/>
      <c r="B90" s="7"/>
      <c r="C90" s="6"/>
      <c r="D90" s="6"/>
      <c r="E90" s="6"/>
      <c r="F90" s="6"/>
      <c r="G90" s="8"/>
      <c r="H90" s="6"/>
      <c r="I90" s="6"/>
      <c r="J90" s="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7"/>
      <c r="Y90" s="7"/>
      <c r="Z90" s="7"/>
      <c r="AA90" s="6"/>
    </row>
    <row r="91" ht="15.75" customHeight="1">
      <c r="A91" s="6"/>
      <c r="B91" s="7"/>
      <c r="C91" s="6"/>
      <c r="D91" s="6"/>
      <c r="E91" s="6"/>
      <c r="F91" s="6"/>
      <c r="G91" s="8"/>
      <c r="H91" s="6"/>
      <c r="I91" s="6"/>
      <c r="J91" s="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7"/>
      <c r="Y91" s="7"/>
      <c r="Z91" s="7"/>
      <c r="AA91" s="6"/>
    </row>
    <row r="92" ht="15.75" customHeight="1">
      <c r="A92" s="6"/>
      <c r="B92" s="7"/>
      <c r="C92" s="6"/>
      <c r="D92" s="6"/>
      <c r="E92" s="6"/>
      <c r="F92" s="6"/>
      <c r="G92" s="8"/>
      <c r="H92" s="6"/>
      <c r="I92" s="6"/>
      <c r="J92" s="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7"/>
      <c r="Y92" s="7"/>
      <c r="Z92" s="7"/>
      <c r="AA92" s="6"/>
    </row>
    <row r="93" ht="15.75" customHeight="1">
      <c r="A93" s="6"/>
      <c r="B93" s="7"/>
      <c r="C93" s="6"/>
      <c r="D93" s="6"/>
      <c r="E93" s="6"/>
      <c r="F93" s="6"/>
      <c r="G93" s="8"/>
      <c r="H93" s="6"/>
      <c r="I93" s="6"/>
      <c r="J93" s="9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7"/>
      <c r="Y93" s="7"/>
      <c r="Z93" s="7"/>
      <c r="AA93" s="6"/>
    </row>
    <row r="94" ht="15.75" customHeight="1">
      <c r="A94" s="6"/>
      <c r="B94" s="7"/>
      <c r="C94" s="6"/>
      <c r="D94" s="6"/>
      <c r="E94" s="6"/>
      <c r="F94" s="6"/>
      <c r="G94" s="8"/>
      <c r="H94" s="6"/>
      <c r="I94" s="6"/>
      <c r="J94" s="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7"/>
      <c r="Y94" s="7"/>
      <c r="Z94" s="7"/>
      <c r="AA94" s="6"/>
    </row>
    <row r="95" ht="15.75" customHeight="1">
      <c r="A95" s="6"/>
      <c r="B95" s="7"/>
      <c r="C95" s="6"/>
      <c r="D95" s="6"/>
      <c r="E95" s="6"/>
      <c r="F95" s="6"/>
      <c r="G95" s="8"/>
      <c r="H95" s="6"/>
      <c r="I95" s="6"/>
      <c r="J95" s="9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7"/>
      <c r="Y95" s="7"/>
      <c r="Z95" s="7"/>
      <c r="AA95" s="6"/>
    </row>
    <row r="96" ht="15.75" customHeight="1">
      <c r="A96" s="6"/>
      <c r="B96" s="7"/>
      <c r="C96" s="6"/>
      <c r="D96" s="6"/>
      <c r="E96" s="6"/>
      <c r="F96" s="6"/>
      <c r="G96" s="8"/>
      <c r="H96" s="6"/>
      <c r="I96" s="6"/>
      <c r="J96" s="9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7"/>
      <c r="Y96" s="7"/>
      <c r="Z96" s="7"/>
      <c r="AA96" s="6"/>
    </row>
    <row r="97" ht="15.75" customHeight="1">
      <c r="A97" s="6"/>
      <c r="B97" s="7"/>
      <c r="C97" s="6"/>
      <c r="D97" s="6"/>
      <c r="E97" s="6"/>
      <c r="F97" s="6"/>
      <c r="G97" s="8"/>
      <c r="H97" s="6"/>
      <c r="I97" s="6"/>
      <c r="J97" s="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7"/>
      <c r="Y97" s="7"/>
      <c r="Z97" s="7"/>
      <c r="AA97" s="6"/>
    </row>
    <row r="98" ht="15.75" customHeight="1">
      <c r="A98" s="6"/>
      <c r="B98" s="7"/>
      <c r="C98" s="6"/>
      <c r="D98" s="6"/>
      <c r="E98" s="6"/>
      <c r="F98" s="6"/>
      <c r="G98" s="8"/>
      <c r="H98" s="6"/>
      <c r="I98" s="6"/>
      <c r="J98" s="9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7"/>
      <c r="Y98" s="7"/>
      <c r="Z98" s="7"/>
      <c r="AA98" s="6"/>
    </row>
    <row r="99" ht="15.75" customHeight="1">
      <c r="A99" s="6"/>
      <c r="B99" s="7"/>
      <c r="C99" s="6"/>
      <c r="D99" s="6"/>
      <c r="E99" s="6"/>
      <c r="F99" s="6"/>
      <c r="G99" s="8"/>
      <c r="H99" s="6"/>
      <c r="I99" s="6"/>
      <c r="J99" s="9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7"/>
      <c r="Y99" s="7"/>
      <c r="Z99" s="7"/>
      <c r="AA99" s="6"/>
    </row>
    <row r="100" ht="15.75" customHeight="1">
      <c r="A100" s="6"/>
      <c r="B100" s="7"/>
      <c r="C100" s="6"/>
      <c r="D100" s="6"/>
      <c r="E100" s="6"/>
      <c r="F100" s="6"/>
      <c r="G100" s="8"/>
      <c r="H100" s="6"/>
      <c r="I100" s="6"/>
      <c r="J100" s="9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6"/>
    </row>
    <row r="101" ht="15.75" customHeight="1">
      <c r="A101" s="10"/>
      <c r="B101" s="11"/>
      <c r="C101" s="10"/>
      <c r="D101" s="10"/>
      <c r="E101" s="10"/>
      <c r="F101" s="10"/>
      <c r="G101" s="12"/>
      <c r="H101" s="10"/>
      <c r="I101" s="10"/>
      <c r="J101" s="13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1"/>
      <c r="Y101" s="11"/>
      <c r="Z101" s="11"/>
      <c r="AA101" s="10"/>
    </row>
    <row r="102" ht="15.75" customHeight="1">
      <c r="A102" s="10"/>
      <c r="B102" s="11"/>
      <c r="C102" s="10"/>
      <c r="D102" s="10"/>
      <c r="E102" s="10"/>
      <c r="F102" s="10"/>
      <c r="G102" s="12"/>
      <c r="H102" s="10"/>
      <c r="I102" s="10"/>
      <c r="J102" s="13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1"/>
      <c r="Y102" s="11"/>
      <c r="Z102" s="11"/>
      <c r="AA102" s="10"/>
    </row>
    <row r="103" ht="15.75" customHeight="1">
      <c r="A103" s="10"/>
      <c r="B103" s="11"/>
      <c r="C103" s="10"/>
      <c r="D103" s="10"/>
      <c r="E103" s="10"/>
      <c r="F103" s="10"/>
      <c r="G103" s="12"/>
      <c r="H103" s="10"/>
      <c r="I103" s="10"/>
      <c r="J103" s="13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1"/>
      <c r="Y103" s="11"/>
      <c r="Z103" s="11"/>
      <c r="AA103" s="10"/>
    </row>
    <row r="104" ht="15.75" customHeight="1">
      <c r="A104" s="10"/>
      <c r="B104" s="11"/>
      <c r="C104" s="10"/>
      <c r="D104" s="10"/>
      <c r="E104" s="10"/>
      <c r="F104" s="10"/>
      <c r="G104" s="12"/>
      <c r="H104" s="10"/>
      <c r="I104" s="10"/>
      <c r="J104" s="13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1"/>
      <c r="Y104" s="11"/>
      <c r="Z104" s="11"/>
      <c r="AA104" s="10"/>
    </row>
    <row r="105" ht="15.75" customHeight="1">
      <c r="A105" s="10"/>
      <c r="B105" s="11"/>
      <c r="C105" s="10"/>
      <c r="D105" s="10"/>
      <c r="E105" s="10"/>
      <c r="F105" s="10"/>
      <c r="G105" s="12"/>
      <c r="H105" s="10"/>
      <c r="I105" s="10"/>
      <c r="J105" s="13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1"/>
      <c r="Y105" s="11"/>
      <c r="Z105" s="11"/>
      <c r="AA105" s="10"/>
    </row>
    <row r="106" ht="15.75" customHeight="1">
      <c r="A106" s="10"/>
      <c r="B106" s="11"/>
      <c r="C106" s="10"/>
      <c r="D106" s="10"/>
      <c r="E106" s="10"/>
      <c r="F106" s="10"/>
      <c r="G106" s="12"/>
      <c r="H106" s="10"/>
      <c r="I106" s="10"/>
      <c r="J106" s="13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Y106" s="11"/>
      <c r="Z106" s="11"/>
      <c r="AA106" s="10"/>
    </row>
    <row r="107" ht="15.75" customHeight="1">
      <c r="A107" s="10"/>
      <c r="B107" s="11"/>
      <c r="C107" s="10"/>
      <c r="D107" s="10"/>
      <c r="E107" s="10"/>
      <c r="F107" s="10"/>
      <c r="G107" s="12"/>
      <c r="H107" s="10"/>
      <c r="I107" s="10"/>
      <c r="J107" s="13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Y107" s="11"/>
      <c r="Z107" s="11"/>
      <c r="AA107" s="10"/>
    </row>
    <row r="108" ht="15.75" customHeight="1">
      <c r="A108" s="10"/>
      <c r="B108" s="11"/>
      <c r="C108" s="10"/>
      <c r="D108" s="10"/>
      <c r="E108" s="10"/>
      <c r="F108" s="10"/>
      <c r="G108" s="12"/>
      <c r="H108" s="10"/>
      <c r="I108" s="10"/>
      <c r="J108" s="13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Y108" s="11"/>
      <c r="Z108" s="11"/>
      <c r="AA108" s="10"/>
    </row>
    <row r="109" ht="15.75" customHeight="1">
      <c r="A109" s="10"/>
      <c r="B109" s="11"/>
      <c r="C109" s="10"/>
      <c r="D109" s="10"/>
      <c r="E109" s="10"/>
      <c r="F109" s="10"/>
      <c r="G109" s="12"/>
      <c r="H109" s="10"/>
      <c r="I109" s="10"/>
      <c r="J109" s="13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Y109" s="11"/>
      <c r="Z109" s="11"/>
      <c r="AA109" s="10"/>
    </row>
    <row r="110" ht="15.75" customHeight="1">
      <c r="A110" s="10"/>
      <c r="B110" s="11"/>
      <c r="C110" s="10"/>
      <c r="D110" s="10"/>
      <c r="E110" s="10"/>
      <c r="F110" s="10"/>
      <c r="G110" s="12"/>
      <c r="H110" s="10"/>
      <c r="I110" s="10"/>
      <c r="J110" s="13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Y110" s="11"/>
      <c r="Z110" s="11"/>
      <c r="AA110" s="10"/>
    </row>
    <row r="111" ht="15.75" customHeight="1">
      <c r="A111" s="10"/>
      <c r="B111" s="11"/>
      <c r="C111" s="10"/>
      <c r="D111" s="10"/>
      <c r="E111" s="10"/>
      <c r="F111" s="10"/>
      <c r="G111" s="12"/>
      <c r="H111" s="10"/>
      <c r="I111" s="10"/>
      <c r="J111" s="13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Y111" s="11"/>
      <c r="Z111" s="11"/>
      <c r="AA111" s="10"/>
    </row>
    <row r="112" ht="15.75" customHeight="1">
      <c r="A112" s="10"/>
      <c r="B112" s="11"/>
      <c r="C112" s="10"/>
      <c r="D112" s="10"/>
      <c r="E112" s="10"/>
      <c r="F112" s="10"/>
      <c r="G112" s="12"/>
      <c r="H112" s="10"/>
      <c r="I112" s="10"/>
      <c r="J112" s="13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Y112" s="11"/>
      <c r="Z112" s="11"/>
      <c r="AA112" s="10"/>
    </row>
    <row r="113" ht="15.75" customHeight="1">
      <c r="A113" s="10"/>
      <c r="B113" s="11"/>
      <c r="C113" s="10"/>
      <c r="D113" s="10"/>
      <c r="E113" s="10"/>
      <c r="F113" s="10"/>
      <c r="G113" s="12"/>
      <c r="H113" s="10"/>
      <c r="I113" s="10"/>
      <c r="J113" s="13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Y113" s="11"/>
      <c r="Z113" s="11"/>
      <c r="AA113" s="10"/>
    </row>
    <row r="114" ht="15.75" customHeight="1">
      <c r="A114" s="10"/>
      <c r="B114" s="11"/>
      <c r="C114" s="10"/>
      <c r="D114" s="10"/>
      <c r="E114" s="10"/>
      <c r="F114" s="10"/>
      <c r="G114" s="12"/>
      <c r="H114" s="10"/>
      <c r="I114" s="10"/>
      <c r="J114" s="13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Y114" s="11"/>
      <c r="Z114" s="11"/>
      <c r="AA114" s="10"/>
    </row>
    <row r="115" ht="15.75" customHeight="1">
      <c r="A115" s="10"/>
      <c r="B115" s="11"/>
      <c r="C115" s="10"/>
      <c r="D115" s="10"/>
      <c r="E115" s="10"/>
      <c r="F115" s="10"/>
      <c r="G115" s="12"/>
      <c r="H115" s="10"/>
      <c r="I115" s="10"/>
      <c r="J115" s="13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Y115" s="11"/>
      <c r="Z115" s="11"/>
      <c r="AA115" s="10"/>
    </row>
    <row r="116" ht="15.75" customHeight="1">
      <c r="A116" s="10"/>
      <c r="B116" s="11"/>
      <c r="C116" s="10"/>
      <c r="D116" s="10"/>
      <c r="E116" s="10"/>
      <c r="F116" s="10"/>
      <c r="G116" s="12"/>
      <c r="H116" s="10"/>
      <c r="I116" s="10"/>
      <c r="J116" s="13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1"/>
      <c r="Y116" s="11"/>
      <c r="Z116" s="11"/>
      <c r="AA116" s="10"/>
    </row>
    <row r="117" ht="15.75" customHeight="1">
      <c r="A117" s="10"/>
      <c r="B117" s="11"/>
      <c r="C117" s="10"/>
      <c r="D117" s="10"/>
      <c r="E117" s="10"/>
      <c r="F117" s="10"/>
      <c r="G117" s="12"/>
      <c r="H117" s="10"/>
      <c r="I117" s="10"/>
      <c r="J117" s="13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1"/>
      <c r="Y117" s="11"/>
      <c r="Z117" s="11"/>
      <c r="AA117" s="10"/>
    </row>
    <row r="118" ht="15.75" customHeight="1">
      <c r="A118" s="10"/>
      <c r="B118" s="11"/>
      <c r="C118" s="10"/>
      <c r="D118" s="10"/>
      <c r="E118" s="10"/>
      <c r="F118" s="10"/>
      <c r="G118" s="12"/>
      <c r="H118" s="10"/>
      <c r="I118" s="10"/>
      <c r="J118" s="13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1"/>
      <c r="Y118" s="11"/>
      <c r="Z118" s="11"/>
      <c r="AA118" s="10"/>
    </row>
    <row r="119" ht="15.75" customHeight="1">
      <c r="A119" s="10"/>
      <c r="B119" s="11"/>
      <c r="C119" s="10"/>
      <c r="D119" s="10"/>
      <c r="E119" s="10"/>
      <c r="F119" s="10"/>
      <c r="G119" s="12"/>
      <c r="H119" s="10"/>
      <c r="I119" s="10"/>
      <c r="J119" s="13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1"/>
      <c r="Y119" s="11"/>
      <c r="Z119" s="11"/>
      <c r="AA119" s="10"/>
    </row>
    <row r="120" ht="15.75" customHeight="1">
      <c r="A120" s="10"/>
      <c r="B120" s="11"/>
      <c r="C120" s="10"/>
      <c r="D120" s="10"/>
      <c r="E120" s="10"/>
      <c r="F120" s="10"/>
      <c r="G120" s="12"/>
      <c r="H120" s="10"/>
      <c r="I120" s="10"/>
      <c r="J120" s="13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1"/>
      <c r="Y120" s="11"/>
      <c r="Z120" s="11"/>
      <c r="AA120" s="10"/>
    </row>
    <row r="121" ht="15.75" customHeight="1">
      <c r="A121" s="10"/>
      <c r="B121" s="11"/>
      <c r="C121" s="10"/>
      <c r="D121" s="10"/>
      <c r="E121" s="10"/>
      <c r="F121" s="10"/>
      <c r="G121" s="12"/>
      <c r="H121" s="10"/>
      <c r="I121" s="10"/>
      <c r="J121" s="13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1"/>
      <c r="Y121" s="11"/>
      <c r="Z121" s="11"/>
      <c r="AA121" s="10"/>
    </row>
    <row r="122" ht="15.75" customHeight="1">
      <c r="A122" s="10"/>
      <c r="B122" s="11"/>
      <c r="C122" s="10"/>
      <c r="D122" s="10"/>
      <c r="E122" s="10"/>
      <c r="F122" s="10"/>
      <c r="G122" s="12"/>
      <c r="H122" s="10"/>
      <c r="I122" s="10"/>
      <c r="J122" s="13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1"/>
      <c r="Y122" s="11"/>
      <c r="Z122" s="11"/>
      <c r="AA122" s="10"/>
    </row>
    <row r="123" ht="15.75" customHeight="1">
      <c r="A123" s="10"/>
      <c r="B123" s="11"/>
      <c r="C123" s="10"/>
      <c r="D123" s="10"/>
      <c r="E123" s="10"/>
      <c r="F123" s="10"/>
      <c r="G123" s="12"/>
      <c r="H123" s="10"/>
      <c r="I123" s="10"/>
      <c r="J123" s="13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Y123" s="11"/>
      <c r="Z123" s="11"/>
      <c r="AA123" s="10"/>
    </row>
    <row r="124" ht="15.75" customHeight="1">
      <c r="A124" s="10"/>
      <c r="B124" s="11"/>
      <c r="C124" s="10"/>
      <c r="D124" s="10"/>
      <c r="E124" s="10"/>
      <c r="F124" s="10"/>
      <c r="G124" s="12"/>
      <c r="H124" s="10"/>
      <c r="I124" s="10"/>
      <c r="J124" s="13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Y124" s="11"/>
      <c r="Z124" s="11"/>
      <c r="AA124" s="10"/>
    </row>
    <row r="125" ht="15.75" customHeight="1">
      <c r="A125" s="10"/>
      <c r="B125" s="11"/>
      <c r="C125" s="10"/>
      <c r="D125" s="10"/>
      <c r="E125" s="10"/>
      <c r="F125" s="10"/>
      <c r="G125" s="12"/>
      <c r="H125" s="10"/>
      <c r="I125" s="10"/>
      <c r="J125" s="13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Y125" s="11"/>
      <c r="Z125" s="11"/>
      <c r="AA125" s="10"/>
    </row>
    <row r="126" ht="15.75" customHeight="1">
      <c r="A126" s="10"/>
      <c r="B126" s="11"/>
      <c r="C126" s="10"/>
      <c r="D126" s="10"/>
      <c r="E126" s="10"/>
      <c r="F126" s="10"/>
      <c r="G126" s="12"/>
      <c r="H126" s="10"/>
      <c r="I126" s="10"/>
      <c r="J126" s="13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Y126" s="11"/>
      <c r="Z126" s="11"/>
      <c r="AA126" s="10"/>
    </row>
    <row r="127" ht="15.75" customHeight="1">
      <c r="A127" s="10"/>
      <c r="B127" s="11"/>
      <c r="C127" s="10"/>
      <c r="D127" s="10"/>
      <c r="E127" s="10"/>
      <c r="F127" s="10"/>
      <c r="G127" s="12"/>
      <c r="H127" s="10"/>
      <c r="I127" s="10"/>
      <c r="J127" s="13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Y127" s="11"/>
      <c r="Z127" s="11"/>
      <c r="AA127" s="10"/>
    </row>
    <row r="128" ht="15.75" customHeight="1">
      <c r="A128" s="10"/>
      <c r="B128" s="11"/>
      <c r="C128" s="10"/>
      <c r="D128" s="10"/>
      <c r="E128" s="10"/>
      <c r="F128" s="10"/>
      <c r="G128" s="12"/>
      <c r="H128" s="10"/>
      <c r="I128" s="10"/>
      <c r="J128" s="13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Y128" s="11"/>
      <c r="Z128" s="11"/>
      <c r="AA128" s="10"/>
    </row>
    <row r="129" ht="15.75" customHeight="1">
      <c r="A129" s="10"/>
      <c r="B129" s="11"/>
      <c r="C129" s="10"/>
      <c r="D129" s="10"/>
      <c r="E129" s="10"/>
      <c r="F129" s="10"/>
      <c r="G129" s="12"/>
      <c r="H129" s="10"/>
      <c r="I129" s="10"/>
      <c r="J129" s="13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Y129" s="11"/>
      <c r="Z129" s="11"/>
      <c r="AA129" s="10"/>
    </row>
    <row r="130" ht="15.75" customHeight="1">
      <c r="A130" s="10"/>
      <c r="B130" s="11"/>
      <c r="C130" s="10"/>
      <c r="D130" s="10"/>
      <c r="E130" s="10"/>
      <c r="F130" s="10"/>
      <c r="G130" s="12"/>
      <c r="H130" s="10"/>
      <c r="I130" s="10"/>
      <c r="J130" s="13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Y130" s="11"/>
      <c r="Z130" s="11"/>
      <c r="AA130" s="10"/>
    </row>
    <row r="131" ht="15.75" customHeight="1">
      <c r="A131" s="10"/>
      <c r="B131" s="11"/>
      <c r="C131" s="10"/>
      <c r="D131" s="10"/>
      <c r="E131" s="10"/>
      <c r="F131" s="10"/>
      <c r="G131" s="12"/>
      <c r="H131" s="10"/>
      <c r="I131" s="10"/>
      <c r="J131" s="13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Y131" s="11"/>
      <c r="Z131" s="11"/>
      <c r="AA131" s="10"/>
    </row>
    <row r="132" ht="15.75" customHeight="1">
      <c r="A132" s="10"/>
      <c r="B132" s="11"/>
      <c r="C132" s="10"/>
      <c r="D132" s="10"/>
      <c r="E132" s="10"/>
      <c r="F132" s="10"/>
      <c r="G132" s="12"/>
      <c r="H132" s="10"/>
      <c r="I132" s="10"/>
      <c r="J132" s="13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Y132" s="11"/>
      <c r="Z132" s="11"/>
      <c r="AA132" s="10"/>
    </row>
    <row r="133" ht="15.75" customHeight="1">
      <c r="A133" s="10"/>
      <c r="B133" s="11"/>
      <c r="C133" s="10"/>
      <c r="D133" s="10"/>
      <c r="E133" s="10"/>
      <c r="F133" s="10"/>
      <c r="G133" s="12"/>
      <c r="H133" s="10"/>
      <c r="I133" s="10"/>
      <c r="J133" s="13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1"/>
      <c r="Y133" s="11"/>
      <c r="Z133" s="11"/>
      <c r="AA133" s="10"/>
    </row>
    <row r="134" ht="15.75" customHeight="1">
      <c r="A134" s="10"/>
      <c r="B134" s="11"/>
      <c r="C134" s="10"/>
      <c r="D134" s="10"/>
      <c r="E134" s="10"/>
      <c r="F134" s="10"/>
      <c r="G134" s="12"/>
      <c r="H134" s="10"/>
      <c r="I134" s="10"/>
      <c r="J134" s="13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1"/>
      <c r="Y134" s="11"/>
      <c r="Z134" s="11"/>
      <c r="AA134" s="10"/>
    </row>
    <row r="135" ht="15.75" customHeight="1">
      <c r="A135" s="10"/>
      <c r="B135" s="11"/>
      <c r="C135" s="10"/>
      <c r="D135" s="10"/>
      <c r="E135" s="10"/>
      <c r="F135" s="10"/>
      <c r="G135" s="12"/>
      <c r="H135" s="10"/>
      <c r="I135" s="10"/>
      <c r="J135" s="13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1"/>
      <c r="Y135" s="11"/>
      <c r="Z135" s="11"/>
      <c r="AA135" s="10"/>
    </row>
    <row r="136" ht="15.75" customHeight="1">
      <c r="A136" s="10"/>
      <c r="B136" s="11"/>
      <c r="C136" s="10"/>
      <c r="D136" s="10"/>
      <c r="E136" s="10"/>
      <c r="F136" s="10"/>
      <c r="G136" s="12"/>
      <c r="H136" s="10"/>
      <c r="I136" s="10"/>
      <c r="J136" s="13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1"/>
      <c r="Y136" s="11"/>
      <c r="Z136" s="11"/>
      <c r="AA136" s="10"/>
    </row>
    <row r="137" ht="15.75" customHeight="1">
      <c r="A137" s="10"/>
      <c r="B137" s="11"/>
      <c r="C137" s="10"/>
      <c r="D137" s="10"/>
      <c r="E137" s="10"/>
      <c r="F137" s="10"/>
      <c r="G137" s="12"/>
      <c r="H137" s="10"/>
      <c r="I137" s="10"/>
      <c r="J137" s="13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1"/>
      <c r="Y137" s="11"/>
      <c r="Z137" s="11"/>
      <c r="AA137" s="10"/>
    </row>
    <row r="138" ht="15.75" customHeight="1">
      <c r="A138" s="10"/>
      <c r="B138" s="11"/>
      <c r="C138" s="10"/>
      <c r="D138" s="10"/>
      <c r="E138" s="10"/>
      <c r="F138" s="10"/>
      <c r="G138" s="12"/>
      <c r="H138" s="10"/>
      <c r="I138" s="10"/>
      <c r="J138" s="13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1"/>
      <c r="Y138" s="11"/>
      <c r="Z138" s="11"/>
      <c r="AA138" s="10"/>
    </row>
    <row r="139" ht="15.75" customHeight="1">
      <c r="A139" s="10"/>
      <c r="B139" s="11"/>
      <c r="C139" s="10"/>
      <c r="D139" s="10"/>
      <c r="E139" s="10"/>
      <c r="F139" s="10"/>
      <c r="G139" s="12"/>
      <c r="H139" s="10"/>
      <c r="I139" s="10"/>
      <c r="J139" s="13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  <c r="Y139" s="11"/>
      <c r="Z139" s="11"/>
      <c r="AA139" s="10"/>
    </row>
    <row r="140" ht="15.75" customHeight="1">
      <c r="A140" s="10"/>
      <c r="B140" s="11"/>
      <c r="C140" s="10"/>
      <c r="D140" s="10"/>
      <c r="E140" s="10"/>
      <c r="F140" s="10"/>
      <c r="G140" s="12"/>
      <c r="H140" s="10"/>
      <c r="I140" s="10"/>
      <c r="J140" s="13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Y140" s="11"/>
      <c r="Z140" s="11"/>
      <c r="AA140" s="10"/>
    </row>
    <row r="141" ht="15.75" customHeight="1">
      <c r="A141" s="10"/>
      <c r="B141" s="11"/>
      <c r="C141" s="10"/>
      <c r="D141" s="10"/>
      <c r="E141" s="10"/>
      <c r="F141" s="10"/>
      <c r="G141" s="12"/>
      <c r="H141" s="10"/>
      <c r="I141" s="10"/>
      <c r="J141" s="13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Y141" s="11"/>
      <c r="Z141" s="11"/>
      <c r="AA141" s="10"/>
    </row>
    <row r="142" ht="15.75" customHeight="1">
      <c r="A142" s="10"/>
      <c r="B142" s="11"/>
      <c r="C142" s="10"/>
      <c r="D142" s="10"/>
      <c r="E142" s="10"/>
      <c r="F142" s="10"/>
      <c r="G142" s="12"/>
      <c r="H142" s="10"/>
      <c r="I142" s="10"/>
      <c r="J142" s="13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Y142" s="11"/>
      <c r="Z142" s="11"/>
      <c r="AA142" s="10"/>
    </row>
    <row r="143" ht="15.75" customHeight="1">
      <c r="A143" s="10"/>
      <c r="B143" s="11"/>
      <c r="C143" s="10"/>
      <c r="D143" s="10"/>
      <c r="E143" s="10"/>
      <c r="F143" s="10"/>
      <c r="G143" s="12"/>
      <c r="H143" s="10"/>
      <c r="I143" s="10"/>
      <c r="J143" s="13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Y143" s="11"/>
      <c r="Z143" s="11"/>
      <c r="AA143" s="10"/>
    </row>
    <row r="144" ht="15.75" customHeight="1">
      <c r="A144" s="10"/>
      <c r="B144" s="11"/>
      <c r="C144" s="10"/>
      <c r="D144" s="10"/>
      <c r="E144" s="10"/>
      <c r="F144" s="10"/>
      <c r="G144" s="12"/>
      <c r="H144" s="10"/>
      <c r="I144" s="10"/>
      <c r="J144" s="13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Y144" s="11"/>
      <c r="Z144" s="11"/>
      <c r="AA144" s="10"/>
    </row>
    <row r="145" ht="15.75" customHeight="1">
      <c r="A145" s="10"/>
      <c r="B145" s="11"/>
      <c r="C145" s="10"/>
      <c r="D145" s="10"/>
      <c r="E145" s="10"/>
      <c r="F145" s="10"/>
      <c r="G145" s="12"/>
      <c r="H145" s="10"/>
      <c r="I145" s="10"/>
      <c r="J145" s="13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Y145" s="11"/>
      <c r="Z145" s="11"/>
      <c r="AA145" s="10"/>
    </row>
    <row r="146" ht="15.75" customHeight="1">
      <c r="A146" s="10"/>
      <c r="B146" s="11"/>
      <c r="C146" s="10"/>
      <c r="D146" s="10"/>
      <c r="E146" s="10"/>
      <c r="F146" s="10"/>
      <c r="G146" s="12"/>
      <c r="H146" s="10"/>
      <c r="I146" s="10"/>
      <c r="J146" s="13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Y146" s="11"/>
      <c r="Z146" s="11"/>
      <c r="AA146" s="10"/>
    </row>
    <row r="147" ht="15.75" customHeight="1">
      <c r="A147" s="10"/>
      <c r="B147" s="11"/>
      <c r="C147" s="10"/>
      <c r="D147" s="10"/>
      <c r="E147" s="10"/>
      <c r="F147" s="10"/>
      <c r="G147" s="12"/>
      <c r="H147" s="10"/>
      <c r="I147" s="10"/>
      <c r="J147" s="13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Y147" s="11"/>
      <c r="Z147" s="11"/>
      <c r="AA147" s="10"/>
    </row>
    <row r="148" ht="15.75" customHeight="1">
      <c r="A148" s="10"/>
      <c r="B148" s="11"/>
      <c r="C148" s="10"/>
      <c r="D148" s="10"/>
      <c r="E148" s="10"/>
      <c r="F148" s="10"/>
      <c r="G148" s="12"/>
      <c r="H148" s="10"/>
      <c r="I148" s="10"/>
      <c r="J148" s="13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Y148" s="11"/>
      <c r="Z148" s="11"/>
      <c r="AA148" s="10"/>
    </row>
    <row r="149" ht="15.75" customHeight="1">
      <c r="A149" s="10"/>
      <c r="B149" s="11"/>
      <c r="C149" s="10"/>
      <c r="D149" s="10"/>
      <c r="E149" s="10"/>
      <c r="F149" s="10"/>
      <c r="G149" s="12"/>
      <c r="H149" s="10"/>
      <c r="I149" s="10"/>
      <c r="J149" s="13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Y149" s="11"/>
      <c r="Z149" s="11"/>
      <c r="AA149" s="10"/>
    </row>
    <row r="150" ht="15.75" customHeight="1">
      <c r="A150" s="10"/>
      <c r="B150" s="11"/>
      <c r="C150" s="10"/>
      <c r="D150" s="10"/>
      <c r="E150" s="10"/>
      <c r="F150" s="10"/>
      <c r="G150" s="12"/>
      <c r="H150" s="10"/>
      <c r="I150" s="10"/>
      <c r="J150" s="13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1"/>
      <c r="Y150" s="11"/>
      <c r="Z150" s="11"/>
      <c r="AA150" s="10"/>
    </row>
    <row r="151" ht="15.75" customHeight="1">
      <c r="A151" s="10"/>
      <c r="B151" s="11"/>
      <c r="C151" s="10"/>
      <c r="D151" s="10"/>
      <c r="E151" s="10"/>
      <c r="F151" s="10"/>
      <c r="G151" s="12"/>
      <c r="H151" s="10"/>
      <c r="I151" s="10"/>
      <c r="J151" s="13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1"/>
      <c r="Y151" s="11"/>
      <c r="Z151" s="11"/>
      <c r="AA151" s="10"/>
    </row>
    <row r="152" ht="15.75" customHeight="1">
      <c r="A152" s="10"/>
      <c r="B152" s="11"/>
      <c r="C152" s="10"/>
      <c r="D152" s="10"/>
      <c r="E152" s="10"/>
      <c r="F152" s="10"/>
      <c r="G152" s="12"/>
      <c r="H152" s="10"/>
      <c r="I152" s="10"/>
      <c r="J152" s="13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  <c r="Y152" s="11"/>
      <c r="Z152" s="11"/>
      <c r="AA152" s="10"/>
    </row>
    <row r="153" ht="15.75" customHeight="1">
      <c r="A153" s="10"/>
      <c r="B153" s="11"/>
      <c r="C153" s="10"/>
      <c r="D153" s="10"/>
      <c r="E153" s="10"/>
      <c r="F153" s="10"/>
      <c r="G153" s="12"/>
      <c r="H153" s="10"/>
      <c r="I153" s="10"/>
      <c r="J153" s="13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1"/>
      <c r="Y153" s="11"/>
      <c r="Z153" s="11"/>
      <c r="AA153" s="10"/>
    </row>
    <row r="154" ht="15.75" customHeight="1">
      <c r="A154" s="10"/>
      <c r="B154" s="11"/>
      <c r="C154" s="10"/>
      <c r="D154" s="10"/>
      <c r="E154" s="10"/>
      <c r="F154" s="10"/>
      <c r="G154" s="12"/>
      <c r="H154" s="10"/>
      <c r="I154" s="10"/>
      <c r="J154" s="13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1"/>
      <c r="Y154" s="11"/>
      <c r="Z154" s="11"/>
      <c r="AA154" s="10"/>
    </row>
    <row r="155" ht="15.75" customHeight="1">
      <c r="A155" s="10"/>
      <c r="B155" s="11"/>
      <c r="C155" s="10"/>
      <c r="D155" s="10"/>
      <c r="E155" s="10"/>
      <c r="F155" s="10"/>
      <c r="G155" s="12"/>
      <c r="H155" s="10"/>
      <c r="I155" s="10"/>
      <c r="J155" s="13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1"/>
      <c r="Y155" s="11"/>
      <c r="Z155" s="11"/>
      <c r="AA155" s="10"/>
    </row>
    <row r="156" ht="15.75" customHeight="1">
      <c r="A156" s="10"/>
      <c r="B156" s="11"/>
      <c r="C156" s="10"/>
      <c r="D156" s="10"/>
      <c r="E156" s="10"/>
      <c r="F156" s="10"/>
      <c r="G156" s="12"/>
      <c r="H156" s="10"/>
      <c r="I156" s="10"/>
      <c r="J156" s="13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1"/>
      <c r="Y156" s="11"/>
      <c r="Z156" s="11"/>
      <c r="AA156" s="10"/>
    </row>
    <row r="157" ht="15.75" customHeight="1">
      <c r="A157" s="10"/>
      <c r="B157" s="11"/>
      <c r="C157" s="10"/>
      <c r="D157" s="10"/>
      <c r="E157" s="10"/>
      <c r="F157" s="10"/>
      <c r="G157" s="12"/>
      <c r="H157" s="10"/>
      <c r="I157" s="10"/>
      <c r="J157" s="13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1"/>
      <c r="Y157" s="11"/>
      <c r="Z157" s="11"/>
      <c r="AA157" s="10"/>
    </row>
    <row r="158" ht="15.75" customHeight="1">
      <c r="A158" s="10"/>
      <c r="B158" s="11"/>
      <c r="C158" s="10"/>
      <c r="D158" s="10"/>
      <c r="E158" s="10"/>
      <c r="F158" s="10"/>
      <c r="G158" s="12"/>
      <c r="H158" s="10"/>
      <c r="I158" s="10"/>
      <c r="J158" s="13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1"/>
      <c r="Y158" s="11"/>
      <c r="Z158" s="11"/>
      <c r="AA158" s="10"/>
    </row>
    <row r="159" ht="15.75" customHeight="1">
      <c r="A159" s="10"/>
      <c r="B159" s="11"/>
      <c r="C159" s="10"/>
      <c r="D159" s="10"/>
      <c r="E159" s="10"/>
      <c r="F159" s="10"/>
      <c r="G159" s="12"/>
      <c r="H159" s="10"/>
      <c r="I159" s="10"/>
      <c r="J159" s="13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1"/>
      <c r="Y159" s="11"/>
      <c r="Z159" s="11"/>
      <c r="AA159" s="10"/>
    </row>
    <row r="160" ht="15.75" customHeight="1">
      <c r="A160" s="10"/>
      <c r="B160" s="11"/>
      <c r="C160" s="10"/>
      <c r="D160" s="10"/>
      <c r="E160" s="10"/>
      <c r="F160" s="10"/>
      <c r="G160" s="12"/>
      <c r="H160" s="10"/>
      <c r="I160" s="10"/>
      <c r="J160" s="13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1"/>
      <c r="Y160" s="11"/>
      <c r="Z160" s="11"/>
      <c r="AA160" s="10"/>
    </row>
    <row r="161" ht="15.75" customHeight="1">
      <c r="A161" s="10"/>
      <c r="B161" s="11"/>
      <c r="C161" s="10"/>
      <c r="D161" s="10"/>
      <c r="E161" s="10"/>
      <c r="F161" s="10"/>
      <c r="G161" s="12"/>
      <c r="H161" s="10"/>
      <c r="I161" s="10"/>
      <c r="J161" s="13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1"/>
      <c r="Y161" s="11"/>
      <c r="Z161" s="11"/>
      <c r="AA161" s="10"/>
    </row>
    <row r="162" ht="15.75" customHeight="1">
      <c r="A162" s="10"/>
      <c r="B162" s="11"/>
      <c r="C162" s="10"/>
      <c r="D162" s="10"/>
      <c r="E162" s="10"/>
      <c r="F162" s="10"/>
      <c r="G162" s="12"/>
      <c r="H162" s="10"/>
      <c r="I162" s="10"/>
      <c r="J162" s="13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1"/>
      <c r="Y162" s="11"/>
      <c r="Z162" s="11"/>
      <c r="AA162" s="10"/>
    </row>
    <row r="163" ht="15.75" customHeight="1">
      <c r="A163" s="10"/>
      <c r="B163" s="11"/>
      <c r="C163" s="10"/>
      <c r="D163" s="10"/>
      <c r="E163" s="10"/>
      <c r="F163" s="10"/>
      <c r="G163" s="12"/>
      <c r="H163" s="10"/>
      <c r="I163" s="10"/>
      <c r="J163" s="13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1"/>
      <c r="Y163" s="11"/>
      <c r="Z163" s="11"/>
      <c r="AA163" s="10"/>
    </row>
    <row r="164" ht="15.75" customHeight="1">
      <c r="A164" s="10"/>
      <c r="B164" s="11"/>
      <c r="C164" s="10"/>
      <c r="D164" s="10"/>
      <c r="E164" s="10"/>
      <c r="F164" s="10"/>
      <c r="G164" s="12"/>
      <c r="H164" s="10"/>
      <c r="I164" s="10"/>
      <c r="J164" s="13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1"/>
      <c r="Y164" s="11"/>
      <c r="Z164" s="11"/>
      <c r="AA164" s="10"/>
    </row>
    <row r="165" ht="15.75" customHeight="1">
      <c r="A165" s="10"/>
      <c r="B165" s="11"/>
      <c r="C165" s="10"/>
      <c r="D165" s="10"/>
      <c r="E165" s="10"/>
      <c r="F165" s="10"/>
      <c r="G165" s="12"/>
      <c r="H165" s="10"/>
      <c r="I165" s="10"/>
      <c r="J165" s="13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1"/>
      <c r="Y165" s="11"/>
      <c r="Z165" s="11"/>
      <c r="AA165" s="10"/>
    </row>
    <row r="166" ht="15.75" customHeight="1">
      <c r="A166" s="10"/>
      <c r="B166" s="11"/>
      <c r="C166" s="10"/>
      <c r="D166" s="10"/>
      <c r="E166" s="10"/>
      <c r="F166" s="10"/>
      <c r="G166" s="12"/>
      <c r="H166" s="10"/>
      <c r="I166" s="10"/>
      <c r="J166" s="13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1"/>
      <c r="Y166" s="11"/>
      <c r="Z166" s="11"/>
      <c r="AA166" s="10"/>
    </row>
    <row r="167" ht="15.75" customHeight="1">
      <c r="A167" s="10"/>
      <c r="B167" s="11"/>
      <c r="C167" s="10"/>
      <c r="D167" s="10"/>
      <c r="E167" s="10"/>
      <c r="F167" s="10"/>
      <c r="G167" s="12"/>
      <c r="H167" s="10"/>
      <c r="I167" s="10"/>
      <c r="J167" s="13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1"/>
      <c r="Y167" s="11"/>
      <c r="Z167" s="11"/>
      <c r="AA167" s="10"/>
    </row>
    <row r="168" ht="15.75" customHeight="1">
      <c r="A168" s="10"/>
      <c r="B168" s="11"/>
      <c r="C168" s="10"/>
      <c r="D168" s="10"/>
      <c r="E168" s="10"/>
      <c r="F168" s="10"/>
      <c r="G168" s="12"/>
      <c r="H168" s="10"/>
      <c r="I168" s="10"/>
      <c r="J168" s="13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1"/>
      <c r="Y168" s="11"/>
      <c r="Z168" s="11"/>
      <c r="AA168" s="10"/>
    </row>
    <row r="169" ht="15.75" customHeight="1">
      <c r="A169" s="10"/>
      <c r="B169" s="11"/>
      <c r="C169" s="10"/>
      <c r="D169" s="10"/>
      <c r="E169" s="10"/>
      <c r="F169" s="10"/>
      <c r="G169" s="12"/>
      <c r="H169" s="10"/>
      <c r="I169" s="10"/>
      <c r="J169" s="13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1"/>
      <c r="Y169" s="11"/>
      <c r="Z169" s="11"/>
      <c r="AA169" s="10"/>
    </row>
    <row r="170" ht="15.75" customHeight="1">
      <c r="A170" s="10"/>
      <c r="B170" s="11"/>
      <c r="C170" s="10"/>
      <c r="D170" s="10"/>
      <c r="E170" s="10"/>
      <c r="F170" s="10"/>
      <c r="G170" s="12"/>
      <c r="H170" s="10"/>
      <c r="I170" s="10"/>
      <c r="J170" s="13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1"/>
      <c r="Y170" s="11"/>
      <c r="Z170" s="11"/>
      <c r="AA170" s="10"/>
    </row>
    <row r="171" ht="15.75" customHeight="1">
      <c r="A171" s="10"/>
      <c r="B171" s="11"/>
      <c r="C171" s="10"/>
      <c r="D171" s="10"/>
      <c r="E171" s="10"/>
      <c r="F171" s="10"/>
      <c r="G171" s="12"/>
      <c r="H171" s="10"/>
      <c r="I171" s="10"/>
      <c r="J171" s="13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1"/>
      <c r="Y171" s="11"/>
      <c r="Z171" s="11"/>
      <c r="AA171" s="10"/>
    </row>
    <row r="172" ht="15.75" customHeight="1">
      <c r="A172" s="10"/>
      <c r="B172" s="11"/>
      <c r="C172" s="10"/>
      <c r="D172" s="10"/>
      <c r="E172" s="10"/>
      <c r="F172" s="10"/>
      <c r="G172" s="12"/>
      <c r="H172" s="10"/>
      <c r="I172" s="10"/>
      <c r="J172" s="13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1"/>
      <c r="Y172" s="11"/>
      <c r="Z172" s="11"/>
      <c r="AA172" s="10"/>
    </row>
    <row r="173" ht="15.75" customHeight="1">
      <c r="A173" s="10"/>
      <c r="B173" s="11"/>
      <c r="C173" s="10"/>
      <c r="D173" s="10"/>
      <c r="E173" s="10"/>
      <c r="F173" s="10"/>
      <c r="G173" s="12"/>
      <c r="H173" s="10"/>
      <c r="I173" s="10"/>
      <c r="J173" s="13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1"/>
      <c r="Y173" s="11"/>
      <c r="Z173" s="11"/>
      <c r="AA173" s="10"/>
    </row>
    <row r="174" ht="15.75" customHeight="1">
      <c r="A174" s="10"/>
      <c r="B174" s="11"/>
      <c r="C174" s="10"/>
      <c r="D174" s="10"/>
      <c r="E174" s="10"/>
      <c r="F174" s="10"/>
      <c r="G174" s="12"/>
      <c r="H174" s="10"/>
      <c r="I174" s="10"/>
      <c r="J174" s="13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1"/>
      <c r="Y174" s="11"/>
      <c r="Z174" s="11"/>
      <c r="AA174" s="10"/>
    </row>
    <row r="175" ht="15.75" customHeight="1">
      <c r="A175" s="10"/>
      <c r="B175" s="11"/>
      <c r="C175" s="10"/>
      <c r="D175" s="10"/>
      <c r="E175" s="10"/>
      <c r="F175" s="10"/>
      <c r="G175" s="12"/>
      <c r="H175" s="10"/>
      <c r="I175" s="10"/>
      <c r="J175" s="13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1"/>
      <c r="Y175" s="11"/>
      <c r="Z175" s="11"/>
      <c r="AA175" s="10"/>
    </row>
    <row r="176" ht="15.75" customHeight="1">
      <c r="A176" s="10"/>
      <c r="B176" s="11"/>
      <c r="C176" s="10"/>
      <c r="D176" s="10"/>
      <c r="E176" s="10"/>
      <c r="F176" s="10"/>
      <c r="G176" s="12"/>
      <c r="H176" s="10"/>
      <c r="I176" s="10"/>
      <c r="J176" s="13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1"/>
      <c r="Y176" s="11"/>
      <c r="Z176" s="11"/>
      <c r="AA176" s="10"/>
    </row>
    <row r="177" ht="15.75" customHeight="1">
      <c r="A177" s="10"/>
      <c r="B177" s="11"/>
      <c r="C177" s="10"/>
      <c r="D177" s="10"/>
      <c r="E177" s="10"/>
      <c r="F177" s="10"/>
      <c r="G177" s="12"/>
      <c r="H177" s="10"/>
      <c r="I177" s="10"/>
      <c r="J177" s="13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1"/>
      <c r="Y177" s="11"/>
      <c r="Z177" s="11"/>
      <c r="AA177" s="10"/>
    </row>
    <row r="178" ht="15.75" customHeight="1">
      <c r="A178" s="10"/>
      <c r="B178" s="11"/>
      <c r="C178" s="10"/>
      <c r="D178" s="10"/>
      <c r="E178" s="10"/>
      <c r="F178" s="10"/>
      <c r="G178" s="12"/>
      <c r="H178" s="10"/>
      <c r="I178" s="10"/>
      <c r="J178" s="13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1"/>
      <c r="Y178" s="11"/>
      <c r="Z178" s="11"/>
      <c r="AA178" s="10"/>
    </row>
    <row r="179" ht="15.75" customHeight="1">
      <c r="A179" s="10"/>
      <c r="B179" s="11"/>
      <c r="C179" s="10"/>
      <c r="D179" s="10"/>
      <c r="E179" s="10"/>
      <c r="F179" s="10"/>
      <c r="G179" s="12"/>
      <c r="H179" s="10"/>
      <c r="I179" s="10"/>
      <c r="J179" s="13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1"/>
      <c r="Y179" s="11"/>
      <c r="Z179" s="11"/>
      <c r="AA179" s="10"/>
    </row>
    <row r="180" ht="15.75" customHeight="1">
      <c r="A180" s="10"/>
      <c r="B180" s="11"/>
      <c r="C180" s="10"/>
      <c r="D180" s="10"/>
      <c r="E180" s="10"/>
      <c r="F180" s="10"/>
      <c r="G180" s="12"/>
      <c r="H180" s="10"/>
      <c r="I180" s="10"/>
      <c r="J180" s="13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1"/>
      <c r="Y180" s="11"/>
      <c r="Z180" s="11"/>
      <c r="AA180" s="10"/>
    </row>
    <row r="181" ht="15.75" customHeight="1">
      <c r="A181" s="10"/>
      <c r="B181" s="11"/>
      <c r="C181" s="10"/>
      <c r="D181" s="10"/>
      <c r="E181" s="10"/>
      <c r="F181" s="10"/>
      <c r="G181" s="12"/>
      <c r="H181" s="10"/>
      <c r="I181" s="10"/>
      <c r="J181" s="13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1"/>
      <c r="Y181" s="11"/>
      <c r="Z181" s="11"/>
      <c r="AA181" s="10"/>
    </row>
    <row r="182" ht="15.75" customHeight="1">
      <c r="A182" s="10"/>
      <c r="B182" s="11"/>
      <c r="C182" s="10"/>
      <c r="D182" s="10"/>
      <c r="E182" s="10"/>
      <c r="F182" s="10"/>
      <c r="G182" s="12"/>
      <c r="H182" s="10"/>
      <c r="I182" s="10"/>
      <c r="J182" s="13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1"/>
      <c r="Y182" s="11"/>
      <c r="Z182" s="11"/>
      <c r="AA182" s="10"/>
    </row>
    <row r="183" ht="15.75" customHeight="1">
      <c r="A183" s="10"/>
      <c r="B183" s="11"/>
      <c r="C183" s="10"/>
      <c r="D183" s="10"/>
      <c r="E183" s="10"/>
      <c r="F183" s="10"/>
      <c r="G183" s="12"/>
      <c r="H183" s="10"/>
      <c r="I183" s="10"/>
      <c r="J183" s="13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1"/>
      <c r="Y183" s="11"/>
      <c r="Z183" s="11"/>
      <c r="AA183" s="10"/>
    </row>
    <row r="184" ht="15.75" customHeight="1">
      <c r="A184" s="10"/>
      <c r="B184" s="11"/>
      <c r="C184" s="10"/>
      <c r="D184" s="10"/>
      <c r="E184" s="10"/>
      <c r="F184" s="10"/>
      <c r="G184" s="12"/>
      <c r="H184" s="10"/>
      <c r="I184" s="10"/>
      <c r="J184" s="13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1"/>
      <c r="Y184" s="11"/>
      <c r="Z184" s="11"/>
      <c r="AA184" s="10"/>
    </row>
    <row r="185" ht="15.75" customHeight="1">
      <c r="A185" s="10"/>
      <c r="B185" s="11"/>
      <c r="C185" s="10"/>
      <c r="D185" s="10"/>
      <c r="E185" s="10"/>
      <c r="F185" s="10"/>
      <c r="G185" s="12"/>
      <c r="H185" s="10"/>
      <c r="I185" s="10"/>
      <c r="J185" s="13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1"/>
      <c r="Y185" s="11"/>
      <c r="Z185" s="11"/>
      <c r="AA185" s="10"/>
    </row>
    <row r="186" ht="15.75" customHeight="1">
      <c r="A186" s="10"/>
      <c r="B186" s="11"/>
      <c r="C186" s="10"/>
      <c r="D186" s="10"/>
      <c r="E186" s="10"/>
      <c r="F186" s="10"/>
      <c r="G186" s="12"/>
      <c r="H186" s="10"/>
      <c r="I186" s="10"/>
      <c r="J186" s="13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1"/>
      <c r="Y186" s="11"/>
      <c r="Z186" s="11"/>
      <c r="AA186" s="10"/>
    </row>
    <row r="187" ht="15.75" customHeight="1">
      <c r="A187" s="10"/>
      <c r="B187" s="11"/>
      <c r="C187" s="10"/>
      <c r="D187" s="10"/>
      <c r="E187" s="10"/>
      <c r="F187" s="10"/>
      <c r="G187" s="12"/>
      <c r="H187" s="10"/>
      <c r="I187" s="10"/>
      <c r="J187" s="13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1"/>
      <c r="Y187" s="11"/>
      <c r="Z187" s="11"/>
      <c r="AA187" s="10"/>
    </row>
    <row r="188" ht="15.75" customHeight="1">
      <c r="A188" s="10"/>
      <c r="B188" s="11"/>
      <c r="C188" s="10"/>
      <c r="D188" s="10"/>
      <c r="E188" s="10"/>
      <c r="F188" s="10"/>
      <c r="G188" s="12"/>
      <c r="H188" s="10"/>
      <c r="I188" s="10"/>
      <c r="J188" s="13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1"/>
      <c r="Y188" s="11"/>
      <c r="Z188" s="11"/>
      <c r="AA188" s="10"/>
    </row>
    <row r="189" ht="15.75" customHeight="1">
      <c r="A189" s="10"/>
      <c r="B189" s="11"/>
      <c r="C189" s="10"/>
      <c r="D189" s="10"/>
      <c r="E189" s="10"/>
      <c r="F189" s="10"/>
      <c r="G189" s="12"/>
      <c r="H189" s="10"/>
      <c r="I189" s="10"/>
      <c r="J189" s="13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1"/>
      <c r="Y189" s="11"/>
      <c r="Z189" s="11"/>
      <c r="AA189" s="10"/>
    </row>
    <row r="190" ht="15.75" customHeight="1">
      <c r="A190" s="10"/>
      <c r="B190" s="11"/>
      <c r="C190" s="10"/>
      <c r="D190" s="10"/>
      <c r="E190" s="10"/>
      <c r="F190" s="10"/>
      <c r="G190" s="12"/>
      <c r="H190" s="10"/>
      <c r="I190" s="10"/>
      <c r="J190" s="13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1"/>
      <c r="Y190" s="11"/>
      <c r="Z190" s="11"/>
      <c r="AA190" s="10"/>
    </row>
    <row r="191" ht="15.75" customHeight="1">
      <c r="A191" s="10"/>
      <c r="B191" s="11"/>
      <c r="C191" s="10"/>
      <c r="D191" s="10"/>
      <c r="E191" s="10"/>
      <c r="F191" s="10"/>
      <c r="G191" s="12"/>
      <c r="H191" s="10"/>
      <c r="I191" s="10"/>
      <c r="J191" s="13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1"/>
      <c r="Y191" s="11"/>
      <c r="Z191" s="11"/>
      <c r="AA191" s="10"/>
    </row>
    <row r="192" ht="15.75" customHeight="1">
      <c r="A192" s="10"/>
      <c r="B192" s="11"/>
      <c r="C192" s="10"/>
      <c r="D192" s="10"/>
      <c r="E192" s="10"/>
      <c r="F192" s="10"/>
      <c r="G192" s="12"/>
      <c r="H192" s="10"/>
      <c r="I192" s="10"/>
      <c r="J192" s="13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1"/>
      <c r="Y192" s="11"/>
      <c r="Z192" s="11"/>
      <c r="AA192" s="10"/>
    </row>
    <row r="193" ht="15.75" customHeight="1">
      <c r="A193" s="10"/>
      <c r="B193" s="11"/>
      <c r="C193" s="10"/>
      <c r="D193" s="10"/>
      <c r="E193" s="10"/>
      <c r="F193" s="10"/>
      <c r="G193" s="12"/>
      <c r="H193" s="10"/>
      <c r="I193" s="10"/>
      <c r="J193" s="13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1"/>
      <c r="Y193" s="11"/>
      <c r="Z193" s="11"/>
      <c r="AA193" s="10"/>
    </row>
    <row r="194" ht="15.75" customHeight="1">
      <c r="A194" s="10"/>
      <c r="B194" s="11"/>
      <c r="C194" s="10"/>
      <c r="D194" s="10"/>
      <c r="E194" s="10"/>
      <c r="F194" s="10"/>
      <c r="G194" s="12"/>
      <c r="H194" s="10"/>
      <c r="I194" s="10"/>
      <c r="J194" s="13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1"/>
      <c r="Y194" s="11"/>
      <c r="Z194" s="11"/>
      <c r="AA194" s="10"/>
    </row>
    <row r="195" ht="15.75" customHeight="1">
      <c r="A195" s="10"/>
      <c r="B195" s="11"/>
      <c r="C195" s="10"/>
      <c r="D195" s="10"/>
      <c r="E195" s="10"/>
      <c r="F195" s="10"/>
      <c r="G195" s="12"/>
      <c r="H195" s="10"/>
      <c r="I195" s="10"/>
      <c r="J195" s="13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1"/>
      <c r="Y195" s="11"/>
      <c r="Z195" s="11"/>
      <c r="AA195" s="10"/>
    </row>
    <row r="196" ht="15.75" customHeight="1">
      <c r="A196" s="10"/>
      <c r="B196" s="11"/>
      <c r="C196" s="10"/>
      <c r="D196" s="10"/>
      <c r="E196" s="10"/>
      <c r="F196" s="10"/>
      <c r="G196" s="12"/>
      <c r="H196" s="10"/>
      <c r="I196" s="10"/>
      <c r="J196" s="13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1"/>
      <c r="Y196" s="11"/>
      <c r="Z196" s="11"/>
      <c r="AA196" s="10"/>
    </row>
    <row r="197" ht="15.75" customHeight="1">
      <c r="A197" s="10"/>
      <c r="B197" s="11"/>
      <c r="C197" s="10"/>
      <c r="D197" s="10"/>
      <c r="E197" s="10"/>
      <c r="F197" s="10"/>
      <c r="G197" s="12"/>
      <c r="H197" s="10"/>
      <c r="I197" s="10"/>
      <c r="J197" s="13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1"/>
      <c r="Y197" s="11"/>
      <c r="Z197" s="11"/>
      <c r="AA197" s="10"/>
    </row>
    <row r="198" ht="15.75" customHeight="1">
      <c r="A198" s="10"/>
      <c r="B198" s="11"/>
      <c r="C198" s="10"/>
      <c r="D198" s="10"/>
      <c r="E198" s="10"/>
      <c r="F198" s="10"/>
      <c r="G198" s="12"/>
      <c r="H198" s="10"/>
      <c r="I198" s="10"/>
      <c r="J198" s="13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1"/>
      <c r="Y198" s="11"/>
      <c r="Z198" s="11"/>
      <c r="AA198" s="10"/>
    </row>
    <row r="199" ht="15.75" customHeight="1">
      <c r="A199" s="10"/>
      <c r="B199" s="11"/>
      <c r="C199" s="10"/>
      <c r="D199" s="10"/>
      <c r="E199" s="10"/>
      <c r="F199" s="10"/>
      <c r="G199" s="12"/>
      <c r="H199" s="10"/>
      <c r="I199" s="10"/>
      <c r="J199" s="13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1"/>
      <c r="Y199" s="11"/>
      <c r="Z199" s="11"/>
      <c r="AA199" s="10"/>
    </row>
    <row r="200" ht="15.75" customHeight="1">
      <c r="A200" s="10"/>
      <c r="B200" s="11"/>
      <c r="C200" s="10"/>
      <c r="D200" s="10"/>
      <c r="E200" s="10"/>
      <c r="F200" s="10"/>
      <c r="G200" s="12"/>
      <c r="H200" s="10"/>
      <c r="I200" s="10"/>
      <c r="J200" s="13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1"/>
      <c r="Y200" s="11"/>
      <c r="Z200" s="11"/>
      <c r="AA200" s="10"/>
    </row>
    <row r="201" ht="15.75" customHeight="1">
      <c r="A201" s="10"/>
      <c r="B201" s="11"/>
      <c r="C201" s="10"/>
      <c r="D201" s="10"/>
      <c r="E201" s="10"/>
      <c r="F201" s="10"/>
      <c r="G201" s="12"/>
      <c r="H201" s="10"/>
      <c r="I201" s="10"/>
      <c r="J201" s="13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1"/>
      <c r="Y201" s="11"/>
      <c r="Z201" s="11"/>
      <c r="AA201" s="10"/>
    </row>
    <row r="202" ht="15.75" customHeight="1">
      <c r="A202" s="10"/>
      <c r="B202" s="11"/>
      <c r="C202" s="10"/>
      <c r="D202" s="10"/>
      <c r="E202" s="10"/>
      <c r="F202" s="10"/>
      <c r="G202" s="12"/>
      <c r="H202" s="10"/>
      <c r="I202" s="10"/>
      <c r="J202" s="13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1"/>
      <c r="Y202" s="11"/>
      <c r="Z202" s="11"/>
      <c r="AA202" s="10"/>
    </row>
    <row r="203" ht="15.75" customHeight="1">
      <c r="A203" s="10"/>
      <c r="B203" s="11"/>
      <c r="C203" s="10"/>
      <c r="D203" s="10"/>
      <c r="E203" s="10"/>
      <c r="F203" s="10"/>
      <c r="G203" s="12"/>
      <c r="H203" s="10"/>
      <c r="I203" s="10"/>
      <c r="J203" s="13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1"/>
      <c r="Y203" s="11"/>
      <c r="Z203" s="11"/>
      <c r="AA203" s="10"/>
    </row>
    <row r="204" ht="15.75" customHeight="1">
      <c r="A204" s="10"/>
      <c r="B204" s="11"/>
      <c r="C204" s="10"/>
      <c r="D204" s="10"/>
      <c r="E204" s="10"/>
      <c r="F204" s="10"/>
      <c r="G204" s="12"/>
      <c r="H204" s="10"/>
      <c r="I204" s="10"/>
      <c r="J204" s="13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1"/>
      <c r="Y204" s="11"/>
      <c r="Z204" s="11"/>
      <c r="AA204" s="10"/>
    </row>
    <row r="205" ht="15.75" customHeight="1">
      <c r="A205" s="10"/>
      <c r="B205" s="11"/>
      <c r="C205" s="10"/>
      <c r="D205" s="10"/>
      <c r="E205" s="10"/>
      <c r="F205" s="10"/>
      <c r="G205" s="12"/>
      <c r="H205" s="10"/>
      <c r="I205" s="10"/>
      <c r="J205" s="13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1"/>
      <c r="Y205" s="11"/>
      <c r="Z205" s="11"/>
      <c r="AA205" s="10"/>
    </row>
    <row r="206" ht="15.75" customHeight="1">
      <c r="A206" s="10"/>
      <c r="B206" s="11"/>
      <c r="C206" s="10"/>
      <c r="D206" s="10"/>
      <c r="E206" s="10"/>
      <c r="F206" s="10"/>
      <c r="G206" s="12"/>
      <c r="H206" s="10"/>
      <c r="I206" s="10"/>
      <c r="J206" s="13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1"/>
      <c r="Y206" s="11"/>
      <c r="Z206" s="11"/>
      <c r="AA206" s="10"/>
    </row>
    <row r="207" ht="15.75" customHeight="1">
      <c r="A207" s="10"/>
      <c r="B207" s="11"/>
      <c r="C207" s="10"/>
      <c r="D207" s="10"/>
      <c r="E207" s="10"/>
      <c r="F207" s="10"/>
      <c r="G207" s="12"/>
      <c r="H207" s="10"/>
      <c r="I207" s="10"/>
      <c r="J207" s="13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1"/>
      <c r="Y207" s="11"/>
      <c r="Z207" s="11"/>
      <c r="AA207" s="10"/>
    </row>
    <row r="208" ht="15.75" customHeight="1">
      <c r="A208" s="10"/>
      <c r="B208" s="11"/>
      <c r="C208" s="10"/>
      <c r="D208" s="10"/>
      <c r="E208" s="10"/>
      <c r="F208" s="10"/>
      <c r="G208" s="12"/>
      <c r="H208" s="10"/>
      <c r="I208" s="10"/>
      <c r="J208" s="13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1"/>
      <c r="Y208" s="11"/>
      <c r="Z208" s="11"/>
      <c r="AA208" s="10"/>
    </row>
    <row r="209" ht="15.75" customHeight="1">
      <c r="A209" s="10"/>
      <c r="B209" s="11"/>
      <c r="C209" s="10"/>
      <c r="D209" s="10"/>
      <c r="E209" s="10"/>
      <c r="F209" s="10"/>
      <c r="G209" s="12"/>
      <c r="H209" s="10"/>
      <c r="I209" s="10"/>
      <c r="J209" s="13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1"/>
      <c r="Y209" s="11"/>
      <c r="Z209" s="11"/>
      <c r="AA209" s="10"/>
    </row>
    <row r="210" ht="15.75" customHeight="1">
      <c r="A210" s="10"/>
      <c r="B210" s="11"/>
      <c r="C210" s="10"/>
      <c r="D210" s="10"/>
      <c r="E210" s="10"/>
      <c r="F210" s="10"/>
      <c r="G210" s="12"/>
      <c r="H210" s="10"/>
      <c r="I210" s="10"/>
      <c r="J210" s="13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1"/>
      <c r="Y210" s="11"/>
      <c r="Z210" s="11"/>
      <c r="AA210" s="10"/>
    </row>
    <row r="211" ht="15.75" customHeight="1">
      <c r="A211" s="10"/>
      <c r="B211" s="11"/>
      <c r="C211" s="10"/>
      <c r="D211" s="10"/>
      <c r="E211" s="10"/>
      <c r="F211" s="10"/>
      <c r="G211" s="12"/>
      <c r="H211" s="10"/>
      <c r="I211" s="10"/>
      <c r="J211" s="13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1"/>
      <c r="Y211" s="11"/>
      <c r="Z211" s="11"/>
      <c r="AA211" s="10"/>
    </row>
    <row r="212" ht="15.75" customHeight="1">
      <c r="A212" s="10"/>
      <c r="B212" s="11"/>
      <c r="C212" s="10"/>
      <c r="D212" s="10"/>
      <c r="E212" s="10"/>
      <c r="F212" s="10"/>
      <c r="G212" s="12"/>
      <c r="H212" s="10"/>
      <c r="I212" s="10"/>
      <c r="J212" s="13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1"/>
      <c r="Y212" s="11"/>
      <c r="Z212" s="11"/>
      <c r="AA212" s="10"/>
    </row>
    <row r="213" ht="15.75" customHeight="1">
      <c r="A213" s="10"/>
      <c r="B213" s="11"/>
      <c r="C213" s="10"/>
      <c r="D213" s="10"/>
      <c r="E213" s="10"/>
      <c r="F213" s="10"/>
      <c r="G213" s="12"/>
      <c r="H213" s="10"/>
      <c r="I213" s="10"/>
      <c r="J213" s="13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1"/>
      <c r="Y213" s="11"/>
      <c r="Z213" s="11"/>
      <c r="AA213" s="10"/>
    </row>
    <row r="214" ht="15.75" customHeight="1">
      <c r="A214" s="10"/>
      <c r="B214" s="11"/>
      <c r="C214" s="10"/>
      <c r="D214" s="10"/>
      <c r="E214" s="10"/>
      <c r="F214" s="10"/>
      <c r="G214" s="12"/>
      <c r="H214" s="10"/>
      <c r="I214" s="10"/>
      <c r="J214" s="13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1"/>
      <c r="Y214" s="11"/>
      <c r="Z214" s="11"/>
      <c r="AA214" s="10"/>
    </row>
    <row r="215" ht="15.75" customHeight="1">
      <c r="A215" s="10"/>
      <c r="B215" s="11"/>
      <c r="C215" s="10"/>
      <c r="D215" s="10"/>
      <c r="E215" s="10"/>
      <c r="F215" s="10"/>
      <c r="G215" s="12"/>
      <c r="H215" s="10"/>
      <c r="I215" s="10"/>
      <c r="J215" s="13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1"/>
      <c r="Y215" s="11"/>
      <c r="Z215" s="11"/>
      <c r="AA215" s="10"/>
    </row>
    <row r="216" ht="15.75" customHeight="1">
      <c r="A216" s="10"/>
      <c r="B216" s="11"/>
      <c r="C216" s="10"/>
      <c r="D216" s="10"/>
      <c r="E216" s="10"/>
      <c r="F216" s="10"/>
      <c r="G216" s="12"/>
      <c r="H216" s="10"/>
      <c r="I216" s="10"/>
      <c r="J216" s="13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1"/>
      <c r="Y216" s="11"/>
      <c r="Z216" s="11"/>
      <c r="AA216" s="10"/>
    </row>
    <row r="217" ht="15.75" customHeight="1">
      <c r="A217" s="10"/>
      <c r="B217" s="11"/>
      <c r="C217" s="10"/>
      <c r="D217" s="10"/>
      <c r="E217" s="10"/>
      <c r="F217" s="10"/>
      <c r="G217" s="12"/>
      <c r="H217" s="10"/>
      <c r="I217" s="10"/>
      <c r="J217" s="13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1"/>
      <c r="Y217" s="11"/>
      <c r="Z217" s="11"/>
      <c r="AA217" s="10"/>
    </row>
    <row r="218" ht="15.75" customHeight="1">
      <c r="A218" s="10"/>
      <c r="B218" s="11"/>
      <c r="C218" s="10"/>
      <c r="D218" s="10"/>
      <c r="E218" s="10"/>
      <c r="F218" s="10"/>
      <c r="G218" s="12"/>
      <c r="H218" s="10"/>
      <c r="I218" s="10"/>
      <c r="J218" s="13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1"/>
      <c r="Y218" s="11"/>
      <c r="Z218" s="11"/>
      <c r="AA218" s="10"/>
    </row>
    <row r="219" ht="15.75" customHeight="1">
      <c r="A219" s="10"/>
      <c r="B219" s="11"/>
      <c r="C219" s="10"/>
      <c r="D219" s="10"/>
      <c r="E219" s="10"/>
      <c r="F219" s="10"/>
      <c r="G219" s="12"/>
      <c r="H219" s="10"/>
      <c r="I219" s="10"/>
      <c r="J219" s="13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1"/>
      <c r="Y219" s="11"/>
      <c r="Z219" s="11"/>
      <c r="AA219" s="10"/>
    </row>
    <row r="220" ht="15.75" customHeight="1">
      <c r="A220" s="10"/>
      <c r="B220" s="11"/>
      <c r="C220" s="10"/>
      <c r="D220" s="10"/>
      <c r="E220" s="10"/>
      <c r="F220" s="10"/>
      <c r="G220" s="12"/>
      <c r="H220" s="10"/>
      <c r="I220" s="10"/>
      <c r="J220" s="13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1"/>
      <c r="Y220" s="11"/>
      <c r="Z220" s="11"/>
      <c r="AA220" s="10"/>
    </row>
    <row r="221" ht="15.75" customHeight="1">
      <c r="F221" s="14"/>
      <c r="K221" s="14"/>
      <c r="L221" s="14"/>
      <c r="P221" s="14"/>
      <c r="T221" s="14"/>
      <c r="U221" s="14"/>
      <c r="V221" s="14"/>
      <c r="W221" s="14"/>
      <c r="AA221" s="14"/>
    </row>
    <row r="222" ht="15.75" customHeight="1">
      <c r="F222" s="14"/>
      <c r="K222" s="14"/>
      <c r="L222" s="14"/>
      <c r="P222" s="14"/>
      <c r="T222" s="14"/>
      <c r="U222" s="14"/>
      <c r="V222" s="14"/>
      <c r="W222" s="14"/>
      <c r="AA222" s="14"/>
    </row>
    <row r="223" ht="15.75" customHeight="1">
      <c r="F223" s="14"/>
      <c r="K223" s="14"/>
      <c r="L223" s="14"/>
      <c r="P223" s="14"/>
      <c r="T223" s="14"/>
      <c r="U223" s="14"/>
      <c r="V223" s="14"/>
      <c r="W223" s="14"/>
      <c r="AA223" s="14"/>
    </row>
    <row r="224" ht="15.75" customHeight="1">
      <c r="F224" s="14"/>
      <c r="K224" s="14"/>
      <c r="L224" s="14"/>
      <c r="P224" s="14"/>
      <c r="T224" s="14"/>
      <c r="U224" s="14"/>
      <c r="V224" s="14"/>
      <c r="W224" s="14"/>
      <c r="AA224" s="14"/>
    </row>
    <row r="225" ht="15.75" customHeight="1">
      <c r="F225" s="14"/>
      <c r="K225" s="14"/>
      <c r="L225" s="14"/>
      <c r="P225" s="14"/>
      <c r="T225" s="14"/>
      <c r="U225" s="14"/>
      <c r="V225" s="14"/>
      <c r="W225" s="14"/>
      <c r="AA225" s="14"/>
    </row>
    <row r="226" ht="15.75" customHeight="1">
      <c r="F226" s="14"/>
      <c r="K226" s="14"/>
      <c r="L226" s="14"/>
      <c r="P226" s="14"/>
      <c r="T226" s="14"/>
      <c r="U226" s="14"/>
      <c r="V226" s="14"/>
      <c r="W226" s="14"/>
      <c r="AA226" s="14"/>
    </row>
    <row r="227" ht="15.75" customHeight="1">
      <c r="F227" s="14"/>
      <c r="K227" s="14"/>
      <c r="L227" s="14"/>
      <c r="P227" s="14"/>
      <c r="T227" s="14"/>
      <c r="U227" s="14"/>
      <c r="V227" s="14"/>
      <c r="W227" s="14"/>
      <c r="AA227" s="14"/>
    </row>
    <row r="228" ht="15.75" customHeight="1">
      <c r="F228" s="14"/>
      <c r="K228" s="14"/>
      <c r="L228" s="14"/>
      <c r="P228" s="14"/>
      <c r="T228" s="14"/>
      <c r="U228" s="14"/>
      <c r="V228" s="14"/>
      <c r="W228" s="14"/>
      <c r="AA228" s="14"/>
    </row>
    <row r="229" ht="15.75" customHeight="1">
      <c r="F229" s="14"/>
      <c r="K229" s="14"/>
      <c r="L229" s="14"/>
      <c r="P229" s="14"/>
      <c r="T229" s="14"/>
      <c r="U229" s="14"/>
      <c r="V229" s="14"/>
      <c r="W229" s="14"/>
      <c r="AA229" s="14"/>
    </row>
    <row r="230" ht="15.75" customHeight="1">
      <c r="F230" s="14"/>
      <c r="K230" s="14"/>
      <c r="L230" s="14"/>
      <c r="P230" s="14"/>
      <c r="T230" s="14"/>
      <c r="U230" s="14"/>
      <c r="V230" s="14"/>
      <c r="W230" s="14"/>
      <c r="AA230" s="14"/>
    </row>
    <row r="231" ht="15.75" customHeight="1">
      <c r="F231" s="14"/>
      <c r="K231" s="14"/>
      <c r="L231" s="14"/>
      <c r="P231" s="14"/>
      <c r="T231" s="14"/>
      <c r="U231" s="14"/>
      <c r="V231" s="14"/>
      <c r="W231" s="14"/>
      <c r="AA231" s="14"/>
    </row>
    <row r="232" ht="15.75" customHeight="1">
      <c r="F232" s="14"/>
      <c r="K232" s="14"/>
      <c r="L232" s="14"/>
      <c r="P232" s="14"/>
      <c r="T232" s="14"/>
      <c r="U232" s="14"/>
      <c r="V232" s="14"/>
      <c r="W232" s="14"/>
      <c r="AA232" s="14"/>
    </row>
    <row r="233" ht="15.75" customHeight="1">
      <c r="F233" s="14"/>
      <c r="K233" s="14"/>
      <c r="L233" s="14"/>
      <c r="P233" s="14"/>
      <c r="T233" s="14"/>
      <c r="U233" s="14"/>
      <c r="V233" s="14"/>
      <c r="W233" s="14"/>
      <c r="AA233" s="14"/>
    </row>
    <row r="234" ht="15.75" customHeight="1">
      <c r="F234" s="14"/>
      <c r="K234" s="14"/>
      <c r="L234" s="14"/>
      <c r="P234" s="14"/>
      <c r="T234" s="14"/>
      <c r="U234" s="14"/>
      <c r="V234" s="14"/>
      <c r="W234" s="14"/>
      <c r="AA234" s="14"/>
    </row>
    <row r="235" ht="15.75" customHeight="1">
      <c r="F235" s="14"/>
      <c r="K235" s="14"/>
      <c r="L235" s="14"/>
      <c r="P235" s="14"/>
      <c r="T235" s="14"/>
      <c r="U235" s="14"/>
      <c r="V235" s="14"/>
      <c r="W235" s="14"/>
      <c r="AA235" s="14"/>
    </row>
    <row r="236" ht="15.75" customHeight="1">
      <c r="F236" s="14"/>
      <c r="K236" s="14"/>
      <c r="L236" s="14"/>
      <c r="P236" s="14"/>
      <c r="T236" s="14"/>
      <c r="U236" s="14"/>
      <c r="V236" s="14"/>
      <c r="W236" s="14"/>
      <c r="AA236" s="14"/>
    </row>
    <row r="237" ht="15.75" customHeight="1">
      <c r="F237" s="14"/>
      <c r="K237" s="14"/>
      <c r="L237" s="14"/>
      <c r="P237" s="14"/>
      <c r="T237" s="14"/>
      <c r="U237" s="14"/>
      <c r="V237" s="14"/>
      <c r="W237" s="14"/>
      <c r="AA237" s="14"/>
    </row>
    <row r="238" ht="15.75" customHeight="1">
      <c r="F238" s="14"/>
      <c r="K238" s="14"/>
      <c r="L238" s="14"/>
      <c r="P238" s="14"/>
      <c r="T238" s="14"/>
      <c r="U238" s="14"/>
      <c r="V238" s="14"/>
      <c r="W238" s="14"/>
      <c r="AA238" s="14"/>
    </row>
    <row r="239" ht="15.75" customHeight="1">
      <c r="F239" s="14"/>
      <c r="K239" s="14"/>
      <c r="L239" s="14"/>
      <c r="P239" s="14"/>
      <c r="T239" s="14"/>
      <c r="U239" s="14"/>
      <c r="V239" s="14"/>
      <c r="W239" s="14"/>
      <c r="AA239" s="14"/>
    </row>
    <row r="240" ht="15.75" customHeight="1">
      <c r="F240" s="14"/>
      <c r="K240" s="14"/>
      <c r="L240" s="14"/>
      <c r="P240" s="14"/>
      <c r="T240" s="14"/>
      <c r="U240" s="14"/>
      <c r="V240" s="14"/>
      <c r="W240" s="14"/>
      <c r="AA240" s="14"/>
    </row>
    <row r="241" ht="15.75" customHeight="1">
      <c r="F241" s="14"/>
      <c r="K241" s="14"/>
      <c r="L241" s="14"/>
      <c r="P241" s="14"/>
      <c r="T241" s="14"/>
      <c r="U241" s="14"/>
      <c r="V241" s="14"/>
      <c r="W241" s="14"/>
      <c r="AA241" s="14"/>
    </row>
    <row r="242" ht="15.75" customHeight="1">
      <c r="F242" s="14"/>
      <c r="K242" s="14"/>
      <c r="L242" s="14"/>
      <c r="P242" s="14"/>
      <c r="T242" s="14"/>
      <c r="U242" s="14"/>
      <c r="V242" s="14"/>
      <c r="W242" s="14"/>
      <c r="AA242" s="14"/>
    </row>
    <row r="243" ht="15.75" customHeight="1">
      <c r="F243" s="14"/>
      <c r="K243" s="14"/>
      <c r="L243" s="14"/>
      <c r="P243" s="14"/>
      <c r="T243" s="14"/>
      <c r="U243" s="14"/>
      <c r="V243" s="14"/>
      <c r="W243" s="14"/>
      <c r="AA243" s="14"/>
    </row>
    <row r="244" ht="15.75" customHeight="1">
      <c r="F244" s="14"/>
      <c r="K244" s="14"/>
      <c r="L244" s="14"/>
      <c r="P244" s="14"/>
      <c r="T244" s="14"/>
      <c r="U244" s="14"/>
      <c r="V244" s="14"/>
      <c r="W244" s="14"/>
      <c r="AA244" s="14"/>
    </row>
    <row r="245" ht="15.75" customHeight="1">
      <c r="F245" s="14"/>
      <c r="K245" s="14"/>
      <c r="L245" s="14"/>
      <c r="P245" s="14"/>
      <c r="T245" s="14"/>
      <c r="U245" s="14"/>
      <c r="V245" s="14"/>
      <c r="W245" s="14"/>
      <c r="AA245" s="14"/>
    </row>
    <row r="246" ht="15.75" customHeight="1">
      <c r="F246" s="14"/>
      <c r="K246" s="14"/>
      <c r="L246" s="14"/>
      <c r="P246" s="14"/>
      <c r="T246" s="14"/>
      <c r="U246" s="14"/>
      <c r="V246" s="14"/>
      <c r="W246" s="14"/>
      <c r="AA246" s="14"/>
    </row>
    <row r="247" ht="15.75" customHeight="1">
      <c r="F247" s="14"/>
      <c r="K247" s="14"/>
      <c r="L247" s="14"/>
      <c r="P247" s="14"/>
      <c r="T247" s="14"/>
      <c r="U247" s="14"/>
      <c r="V247" s="14"/>
      <c r="W247" s="14"/>
      <c r="AA247" s="14"/>
    </row>
    <row r="248" ht="15.75" customHeight="1">
      <c r="F248" s="14"/>
      <c r="K248" s="14"/>
      <c r="L248" s="14"/>
      <c r="P248" s="14"/>
      <c r="T248" s="14"/>
      <c r="U248" s="14"/>
      <c r="V248" s="14"/>
      <c r="W248" s="14"/>
      <c r="AA248" s="14"/>
    </row>
    <row r="249" ht="15.75" customHeight="1">
      <c r="F249" s="14"/>
      <c r="K249" s="14"/>
      <c r="L249" s="14"/>
      <c r="P249" s="14"/>
      <c r="T249" s="14"/>
      <c r="U249" s="14"/>
      <c r="V249" s="14"/>
      <c r="W249" s="14"/>
      <c r="AA249" s="14"/>
    </row>
    <row r="250" ht="15.75" customHeight="1">
      <c r="F250" s="14"/>
      <c r="K250" s="14"/>
      <c r="L250" s="14"/>
      <c r="P250" s="14"/>
      <c r="T250" s="14"/>
      <c r="U250" s="14"/>
      <c r="V250" s="14"/>
      <c r="W250" s="14"/>
      <c r="AA250" s="14"/>
    </row>
    <row r="251" ht="15.75" customHeight="1">
      <c r="F251" s="14"/>
      <c r="K251" s="14"/>
      <c r="L251" s="14"/>
      <c r="P251" s="14"/>
      <c r="T251" s="14"/>
      <c r="U251" s="14"/>
      <c r="V251" s="14"/>
      <c r="W251" s="14"/>
      <c r="AA251" s="14"/>
    </row>
    <row r="252" ht="15.75" customHeight="1">
      <c r="F252" s="14"/>
      <c r="K252" s="14"/>
      <c r="L252" s="14"/>
      <c r="P252" s="14"/>
      <c r="T252" s="14"/>
      <c r="U252" s="14"/>
      <c r="V252" s="14"/>
      <c r="W252" s="14"/>
      <c r="AA252" s="14"/>
    </row>
    <row r="253" ht="15.75" customHeight="1">
      <c r="F253" s="14"/>
      <c r="K253" s="14"/>
      <c r="L253" s="14"/>
      <c r="P253" s="14"/>
      <c r="T253" s="14"/>
      <c r="U253" s="14"/>
      <c r="V253" s="14"/>
      <c r="W253" s="14"/>
      <c r="AA253" s="14"/>
    </row>
    <row r="254" ht="15.75" customHeight="1">
      <c r="F254" s="14"/>
      <c r="K254" s="14"/>
      <c r="L254" s="14"/>
      <c r="P254" s="14"/>
      <c r="T254" s="14"/>
      <c r="U254" s="14"/>
      <c r="V254" s="14"/>
      <c r="W254" s="14"/>
      <c r="AA254" s="14"/>
    </row>
    <row r="255" ht="15.75" customHeight="1">
      <c r="F255" s="14"/>
      <c r="K255" s="14"/>
      <c r="L255" s="14"/>
      <c r="P255" s="14"/>
      <c r="T255" s="14"/>
      <c r="U255" s="14"/>
      <c r="V255" s="14"/>
      <c r="W255" s="14"/>
      <c r="AA255" s="14"/>
    </row>
    <row r="256" ht="15.75" customHeight="1">
      <c r="F256" s="14"/>
      <c r="K256" s="14"/>
      <c r="L256" s="14"/>
      <c r="P256" s="14"/>
      <c r="T256" s="14"/>
      <c r="U256" s="14"/>
      <c r="V256" s="14"/>
      <c r="W256" s="14"/>
      <c r="AA256" s="14"/>
    </row>
    <row r="257" ht="15.75" customHeight="1">
      <c r="F257" s="14"/>
      <c r="K257" s="14"/>
      <c r="L257" s="14"/>
      <c r="P257" s="14"/>
      <c r="T257" s="14"/>
      <c r="U257" s="14"/>
      <c r="V257" s="14"/>
      <c r="W257" s="14"/>
      <c r="AA257" s="14"/>
    </row>
    <row r="258" ht="15.75" customHeight="1">
      <c r="F258" s="14"/>
      <c r="K258" s="14"/>
      <c r="L258" s="14"/>
      <c r="P258" s="14"/>
      <c r="T258" s="14"/>
      <c r="U258" s="14"/>
      <c r="V258" s="14"/>
      <c r="W258" s="14"/>
      <c r="AA258" s="14"/>
    </row>
    <row r="259" ht="15.75" customHeight="1">
      <c r="F259" s="14"/>
      <c r="K259" s="14"/>
      <c r="L259" s="14"/>
      <c r="P259" s="14"/>
      <c r="T259" s="14"/>
      <c r="U259" s="14"/>
      <c r="V259" s="14"/>
      <c r="W259" s="14"/>
      <c r="AA259" s="14"/>
    </row>
    <row r="260" ht="15.75" customHeight="1">
      <c r="F260" s="14"/>
      <c r="K260" s="14"/>
      <c r="L260" s="14"/>
      <c r="P260" s="14"/>
      <c r="T260" s="14"/>
      <c r="U260" s="14"/>
      <c r="V260" s="14"/>
      <c r="W260" s="14"/>
      <c r="AA260" s="14"/>
    </row>
    <row r="261" ht="15.75" customHeight="1">
      <c r="F261" s="14"/>
      <c r="K261" s="14"/>
      <c r="L261" s="14"/>
      <c r="P261" s="14"/>
      <c r="T261" s="14"/>
      <c r="U261" s="14"/>
      <c r="V261" s="14"/>
      <c r="W261" s="14"/>
      <c r="AA261" s="14"/>
    </row>
    <row r="262" ht="15.75" customHeight="1">
      <c r="F262" s="14"/>
      <c r="K262" s="14"/>
      <c r="L262" s="14"/>
      <c r="P262" s="14"/>
      <c r="T262" s="14"/>
      <c r="U262" s="14"/>
      <c r="V262" s="14"/>
      <c r="W262" s="14"/>
      <c r="AA262" s="14"/>
    </row>
    <row r="263" ht="15.75" customHeight="1">
      <c r="F263" s="14"/>
      <c r="K263" s="14"/>
      <c r="L263" s="14"/>
      <c r="P263" s="14"/>
      <c r="T263" s="14"/>
      <c r="U263" s="14"/>
      <c r="V263" s="14"/>
      <c r="W263" s="14"/>
      <c r="AA263" s="14"/>
    </row>
    <row r="264" ht="15.75" customHeight="1">
      <c r="F264" s="14"/>
      <c r="K264" s="14"/>
      <c r="L264" s="14"/>
      <c r="P264" s="14"/>
      <c r="T264" s="14"/>
      <c r="U264" s="14"/>
      <c r="V264" s="14"/>
      <c r="W264" s="14"/>
      <c r="AA264" s="14"/>
    </row>
    <row r="265" ht="15.75" customHeight="1">
      <c r="F265" s="14"/>
      <c r="K265" s="14"/>
      <c r="L265" s="14"/>
      <c r="P265" s="14"/>
      <c r="T265" s="14"/>
      <c r="U265" s="14"/>
      <c r="V265" s="14"/>
      <c r="W265" s="14"/>
      <c r="AA265" s="14"/>
    </row>
    <row r="266" ht="15.75" customHeight="1">
      <c r="F266" s="14"/>
      <c r="K266" s="14"/>
      <c r="L266" s="14"/>
      <c r="P266" s="14"/>
      <c r="T266" s="14"/>
      <c r="U266" s="14"/>
      <c r="V266" s="14"/>
      <c r="W266" s="14"/>
      <c r="AA266" s="14"/>
    </row>
    <row r="267" ht="15.75" customHeight="1">
      <c r="F267" s="14"/>
      <c r="K267" s="14"/>
      <c r="L267" s="14"/>
      <c r="P267" s="14"/>
      <c r="T267" s="14"/>
      <c r="U267" s="14"/>
      <c r="V267" s="14"/>
      <c r="W267" s="14"/>
      <c r="AA267" s="14"/>
    </row>
    <row r="268" ht="15.75" customHeight="1">
      <c r="F268" s="14"/>
      <c r="K268" s="14"/>
      <c r="L268" s="14"/>
      <c r="P268" s="14"/>
      <c r="T268" s="14"/>
      <c r="U268" s="14"/>
      <c r="V268" s="14"/>
      <c r="W268" s="14"/>
      <c r="AA268" s="14"/>
    </row>
    <row r="269" ht="15.75" customHeight="1">
      <c r="F269" s="14"/>
      <c r="K269" s="14"/>
      <c r="L269" s="14"/>
      <c r="P269" s="14"/>
      <c r="T269" s="14"/>
      <c r="U269" s="14"/>
      <c r="V269" s="14"/>
      <c r="W269" s="14"/>
      <c r="AA269" s="14"/>
    </row>
    <row r="270" ht="15.75" customHeight="1">
      <c r="F270" s="14"/>
      <c r="K270" s="14"/>
      <c r="L270" s="14"/>
      <c r="P270" s="14"/>
      <c r="T270" s="14"/>
      <c r="U270" s="14"/>
      <c r="V270" s="14"/>
      <c r="W270" s="14"/>
      <c r="AA270" s="14"/>
    </row>
    <row r="271" ht="15.75" customHeight="1">
      <c r="F271" s="14"/>
      <c r="K271" s="14"/>
      <c r="L271" s="14"/>
      <c r="P271" s="14"/>
      <c r="T271" s="14"/>
      <c r="U271" s="14"/>
      <c r="V271" s="14"/>
      <c r="W271" s="14"/>
      <c r="AA271" s="14"/>
    </row>
    <row r="272" ht="15.75" customHeight="1">
      <c r="F272" s="14"/>
      <c r="K272" s="14"/>
      <c r="L272" s="14"/>
      <c r="P272" s="14"/>
      <c r="T272" s="14"/>
      <c r="U272" s="14"/>
      <c r="V272" s="14"/>
      <c r="W272" s="14"/>
      <c r="AA272" s="14"/>
    </row>
    <row r="273" ht="15.75" customHeight="1">
      <c r="F273" s="14"/>
      <c r="K273" s="14"/>
      <c r="L273" s="14"/>
      <c r="P273" s="14"/>
      <c r="T273" s="14"/>
      <c r="U273" s="14"/>
      <c r="V273" s="14"/>
      <c r="W273" s="14"/>
      <c r="AA273" s="14"/>
    </row>
    <row r="274" ht="15.75" customHeight="1">
      <c r="F274" s="14"/>
      <c r="K274" s="14"/>
      <c r="L274" s="14"/>
      <c r="P274" s="14"/>
      <c r="T274" s="14"/>
      <c r="U274" s="14"/>
      <c r="V274" s="14"/>
      <c r="W274" s="14"/>
      <c r="AA274" s="14"/>
    </row>
    <row r="275" ht="15.75" customHeight="1">
      <c r="F275" s="14"/>
      <c r="K275" s="14"/>
      <c r="L275" s="14"/>
      <c r="P275" s="14"/>
      <c r="T275" s="14"/>
      <c r="U275" s="14"/>
      <c r="V275" s="14"/>
      <c r="W275" s="14"/>
      <c r="AA275" s="14"/>
    </row>
    <row r="276" ht="15.75" customHeight="1">
      <c r="F276" s="14"/>
      <c r="K276" s="14"/>
      <c r="L276" s="14"/>
      <c r="P276" s="14"/>
      <c r="T276" s="14"/>
      <c r="U276" s="14"/>
      <c r="V276" s="14"/>
      <c r="W276" s="14"/>
      <c r="AA276" s="14"/>
    </row>
    <row r="277" ht="15.75" customHeight="1">
      <c r="F277" s="14"/>
      <c r="K277" s="14"/>
      <c r="L277" s="14"/>
      <c r="P277" s="14"/>
      <c r="T277" s="14"/>
      <c r="U277" s="14"/>
      <c r="V277" s="14"/>
      <c r="W277" s="14"/>
      <c r="AA277" s="14"/>
    </row>
    <row r="278" ht="15.75" customHeight="1">
      <c r="F278" s="14"/>
      <c r="K278" s="14"/>
      <c r="L278" s="14"/>
      <c r="P278" s="14"/>
      <c r="T278" s="14"/>
      <c r="U278" s="14"/>
      <c r="V278" s="14"/>
      <c r="W278" s="14"/>
      <c r="AA278" s="14"/>
    </row>
    <row r="279" ht="15.75" customHeight="1">
      <c r="F279" s="14"/>
      <c r="K279" s="14"/>
      <c r="L279" s="14"/>
      <c r="P279" s="14"/>
      <c r="T279" s="14"/>
      <c r="U279" s="14"/>
      <c r="V279" s="14"/>
      <c r="W279" s="14"/>
      <c r="AA279" s="14"/>
    </row>
    <row r="280" ht="15.75" customHeight="1">
      <c r="F280" s="14"/>
      <c r="K280" s="14"/>
      <c r="L280" s="14"/>
      <c r="P280" s="14"/>
      <c r="T280" s="14"/>
      <c r="U280" s="14"/>
      <c r="V280" s="14"/>
      <c r="W280" s="14"/>
      <c r="AA280" s="14"/>
    </row>
    <row r="281" ht="15.75" customHeight="1">
      <c r="F281" s="14"/>
      <c r="K281" s="14"/>
      <c r="L281" s="14"/>
      <c r="P281" s="14"/>
      <c r="T281" s="14"/>
      <c r="U281" s="14"/>
      <c r="V281" s="14"/>
      <c r="W281" s="14"/>
      <c r="AA281" s="14"/>
    </row>
    <row r="282" ht="15.75" customHeight="1">
      <c r="F282" s="14"/>
      <c r="K282" s="14"/>
      <c r="L282" s="14"/>
      <c r="P282" s="14"/>
      <c r="T282" s="14"/>
      <c r="U282" s="14"/>
      <c r="V282" s="14"/>
      <c r="W282" s="14"/>
      <c r="AA282" s="14"/>
    </row>
    <row r="283" ht="15.75" customHeight="1">
      <c r="F283" s="14"/>
      <c r="K283" s="14"/>
      <c r="L283" s="14"/>
      <c r="P283" s="14"/>
      <c r="T283" s="14"/>
      <c r="U283" s="14"/>
      <c r="V283" s="14"/>
      <c r="W283" s="14"/>
      <c r="AA283" s="14"/>
    </row>
    <row r="284" ht="15.75" customHeight="1">
      <c r="F284" s="14"/>
      <c r="K284" s="14"/>
      <c r="L284" s="14"/>
      <c r="P284" s="14"/>
      <c r="T284" s="14"/>
      <c r="U284" s="14"/>
      <c r="V284" s="14"/>
      <c r="W284" s="14"/>
      <c r="AA284" s="14"/>
    </row>
    <row r="285" ht="15.75" customHeight="1">
      <c r="F285" s="14"/>
      <c r="K285" s="14"/>
      <c r="L285" s="14"/>
      <c r="P285" s="14"/>
      <c r="T285" s="14"/>
      <c r="U285" s="14"/>
      <c r="V285" s="14"/>
      <c r="W285" s="14"/>
      <c r="AA285" s="14"/>
    </row>
    <row r="286" ht="15.75" customHeight="1">
      <c r="F286" s="14"/>
      <c r="K286" s="14"/>
      <c r="L286" s="14"/>
      <c r="P286" s="14"/>
      <c r="T286" s="14"/>
      <c r="U286" s="14"/>
      <c r="V286" s="14"/>
      <c r="W286" s="14"/>
      <c r="AA286" s="14"/>
    </row>
    <row r="287" ht="15.75" customHeight="1">
      <c r="F287" s="14"/>
      <c r="K287" s="14"/>
      <c r="L287" s="14"/>
      <c r="P287" s="14"/>
      <c r="T287" s="14"/>
      <c r="U287" s="14"/>
      <c r="V287" s="14"/>
      <c r="W287" s="14"/>
      <c r="AA287" s="14"/>
    </row>
    <row r="288" ht="15.75" customHeight="1">
      <c r="F288" s="14"/>
      <c r="K288" s="14"/>
      <c r="L288" s="14"/>
      <c r="P288" s="14"/>
      <c r="T288" s="14"/>
      <c r="U288" s="14"/>
      <c r="V288" s="14"/>
      <c r="W288" s="14"/>
      <c r="AA288" s="14"/>
    </row>
    <row r="289" ht="15.75" customHeight="1">
      <c r="F289" s="14"/>
      <c r="K289" s="14"/>
      <c r="L289" s="14"/>
      <c r="P289" s="14"/>
      <c r="T289" s="14"/>
      <c r="U289" s="14"/>
      <c r="V289" s="14"/>
      <c r="W289" s="14"/>
      <c r="AA289" s="14"/>
    </row>
    <row r="290" ht="15.75" customHeight="1">
      <c r="F290" s="14"/>
      <c r="K290" s="14"/>
      <c r="L290" s="14"/>
      <c r="P290" s="14"/>
      <c r="T290" s="14"/>
      <c r="U290" s="14"/>
      <c r="V290" s="14"/>
      <c r="W290" s="14"/>
      <c r="AA290" s="14"/>
    </row>
    <row r="291" ht="15.75" customHeight="1">
      <c r="F291" s="14"/>
      <c r="K291" s="14"/>
      <c r="L291" s="14"/>
      <c r="P291" s="14"/>
      <c r="T291" s="14"/>
      <c r="U291" s="14"/>
      <c r="V291" s="14"/>
      <c r="W291" s="14"/>
      <c r="AA291" s="14"/>
    </row>
    <row r="292" ht="15.75" customHeight="1">
      <c r="F292" s="14"/>
      <c r="K292" s="14"/>
      <c r="L292" s="14"/>
      <c r="P292" s="14"/>
      <c r="T292" s="14"/>
      <c r="U292" s="14"/>
      <c r="V292" s="14"/>
      <c r="W292" s="14"/>
      <c r="AA292" s="14"/>
    </row>
    <row r="293" ht="15.75" customHeight="1">
      <c r="F293" s="14"/>
      <c r="K293" s="14"/>
      <c r="L293" s="14"/>
      <c r="P293" s="14"/>
      <c r="T293" s="14"/>
      <c r="U293" s="14"/>
      <c r="V293" s="14"/>
      <c r="W293" s="14"/>
      <c r="AA293" s="14"/>
    </row>
    <row r="294" ht="15.75" customHeight="1">
      <c r="F294" s="14"/>
      <c r="K294" s="14"/>
      <c r="L294" s="14"/>
      <c r="P294" s="14"/>
      <c r="T294" s="14"/>
      <c r="U294" s="14"/>
      <c r="V294" s="14"/>
      <c r="W294" s="14"/>
      <c r="AA294" s="14"/>
    </row>
    <row r="295" ht="15.75" customHeight="1">
      <c r="F295" s="14"/>
      <c r="K295" s="14"/>
      <c r="L295" s="14"/>
      <c r="P295" s="14"/>
      <c r="T295" s="14"/>
      <c r="U295" s="14"/>
      <c r="V295" s="14"/>
      <c r="W295" s="14"/>
      <c r="AA295" s="14"/>
    </row>
    <row r="296" ht="15.75" customHeight="1">
      <c r="F296" s="14"/>
      <c r="K296" s="14"/>
      <c r="L296" s="14"/>
      <c r="P296" s="14"/>
      <c r="T296" s="14"/>
      <c r="U296" s="14"/>
      <c r="V296" s="14"/>
      <c r="W296" s="14"/>
      <c r="AA296" s="14"/>
    </row>
    <row r="297" ht="15.75" customHeight="1">
      <c r="F297" s="14"/>
      <c r="K297" s="14"/>
      <c r="L297" s="14"/>
      <c r="P297" s="14"/>
      <c r="T297" s="14"/>
      <c r="U297" s="14"/>
      <c r="V297" s="14"/>
      <c r="W297" s="14"/>
      <c r="AA297" s="14"/>
    </row>
    <row r="298" ht="15.75" customHeight="1">
      <c r="F298" s="14"/>
      <c r="K298" s="14"/>
      <c r="L298" s="14"/>
      <c r="P298" s="14"/>
      <c r="T298" s="14"/>
      <c r="U298" s="14"/>
      <c r="V298" s="14"/>
      <c r="W298" s="14"/>
      <c r="AA298" s="14"/>
    </row>
    <row r="299" ht="15.75" customHeight="1">
      <c r="F299" s="14"/>
      <c r="K299" s="14"/>
      <c r="L299" s="14"/>
      <c r="P299" s="14"/>
      <c r="T299" s="14"/>
      <c r="U299" s="14"/>
      <c r="V299" s="14"/>
      <c r="W299" s="14"/>
      <c r="AA299" s="14"/>
    </row>
    <row r="300" ht="15.75" customHeight="1">
      <c r="F300" s="14"/>
      <c r="K300" s="14"/>
      <c r="L300" s="14"/>
      <c r="P300" s="14"/>
      <c r="T300" s="14"/>
      <c r="U300" s="14"/>
      <c r="V300" s="14"/>
      <c r="W300" s="14"/>
      <c r="AA300" s="14"/>
    </row>
    <row r="301" ht="15.75" customHeight="1">
      <c r="F301" s="14"/>
      <c r="K301" s="14"/>
      <c r="L301" s="14"/>
      <c r="P301" s="14"/>
      <c r="T301" s="14"/>
      <c r="U301" s="14"/>
      <c r="V301" s="14"/>
      <c r="W301" s="14"/>
      <c r="AA301" s="14"/>
    </row>
    <row r="302" ht="15.75" customHeight="1">
      <c r="F302" s="14"/>
      <c r="K302" s="14"/>
      <c r="L302" s="14"/>
      <c r="P302" s="14"/>
      <c r="T302" s="14"/>
      <c r="U302" s="14"/>
      <c r="V302" s="14"/>
      <c r="W302" s="14"/>
      <c r="AA302" s="14"/>
    </row>
    <row r="303" ht="15.75" customHeight="1">
      <c r="F303" s="14"/>
      <c r="K303" s="14"/>
      <c r="L303" s="14"/>
      <c r="P303" s="14"/>
      <c r="T303" s="14"/>
      <c r="U303" s="14"/>
      <c r="V303" s="14"/>
      <c r="W303" s="14"/>
      <c r="AA303" s="14"/>
    </row>
    <row r="304" ht="15.75" customHeight="1">
      <c r="F304" s="14"/>
      <c r="K304" s="14"/>
      <c r="L304" s="14"/>
      <c r="P304" s="14"/>
      <c r="T304" s="14"/>
      <c r="U304" s="14"/>
      <c r="V304" s="14"/>
      <c r="W304" s="14"/>
      <c r="AA304" s="14"/>
    </row>
    <row r="305" ht="15.75" customHeight="1">
      <c r="F305" s="14"/>
      <c r="K305" s="14"/>
      <c r="L305" s="14"/>
      <c r="P305" s="14"/>
      <c r="T305" s="14"/>
      <c r="U305" s="14"/>
      <c r="V305" s="14"/>
      <c r="W305" s="14"/>
      <c r="AA305" s="14"/>
    </row>
    <row r="306" ht="15.75" customHeight="1">
      <c r="F306" s="14"/>
      <c r="K306" s="14"/>
      <c r="L306" s="14"/>
      <c r="P306" s="14"/>
      <c r="T306" s="14"/>
      <c r="U306" s="14"/>
      <c r="V306" s="14"/>
      <c r="W306" s="14"/>
      <c r="AA306" s="14"/>
    </row>
    <row r="307" ht="15.75" customHeight="1">
      <c r="F307" s="14"/>
      <c r="K307" s="14"/>
      <c r="L307" s="14"/>
      <c r="P307" s="14"/>
      <c r="T307" s="14"/>
      <c r="U307" s="14"/>
      <c r="V307" s="14"/>
      <c r="W307" s="14"/>
      <c r="AA307" s="14"/>
    </row>
    <row r="308" ht="15.75" customHeight="1">
      <c r="F308" s="14"/>
      <c r="K308" s="14"/>
      <c r="L308" s="14"/>
      <c r="P308" s="14"/>
      <c r="T308" s="14"/>
      <c r="U308" s="14"/>
      <c r="V308" s="14"/>
      <c r="W308" s="14"/>
      <c r="AA308" s="14"/>
    </row>
    <row r="309" ht="15.75" customHeight="1">
      <c r="F309" s="14"/>
      <c r="K309" s="14"/>
      <c r="L309" s="14"/>
      <c r="P309" s="14"/>
      <c r="T309" s="14"/>
      <c r="U309" s="14"/>
      <c r="V309" s="14"/>
      <c r="W309" s="14"/>
      <c r="AA309" s="14"/>
    </row>
    <row r="310" ht="15.75" customHeight="1">
      <c r="F310" s="14"/>
      <c r="K310" s="14"/>
      <c r="L310" s="14"/>
      <c r="P310" s="14"/>
      <c r="T310" s="14"/>
      <c r="U310" s="14"/>
      <c r="V310" s="14"/>
      <c r="W310" s="14"/>
      <c r="AA310" s="14"/>
    </row>
    <row r="311" ht="15.75" customHeight="1">
      <c r="F311" s="14"/>
      <c r="K311" s="14"/>
      <c r="L311" s="14"/>
      <c r="P311" s="14"/>
      <c r="T311" s="14"/>
      <c r="U311" s="14"/>
      <c r="V311" s="14"/>
      <c r="W311" s="14"/>
      <c r="AA311" s="14"/>
    </row>
    <row r="312" ht="15.75" customHeight="1">
      <c r="F312" s="14"/>
      <c r="K312" s="14"/>
      <c r="L312" s="14"/>
      <c r="P312" s="14"/>
      <c r="T312" s="14"/>
      <c r="U312" s="14"/>
      <c r="V312" s="14"/>
      <c r="W312" s="14"/>
      <c r="AA312" s="14"/>
    </row>
    <row r="313" ht="15.75" customHeight="1">
      <c r="F313" s="14"/>
      <c r="K313" s="14"/>
      <c r="L313" s="14"/>
      <c r="P313" s="14"/>
      <c r="T313" s="14"/>
      <c r="U313" s="14"/>
      <c r="V313" s="14"/>
      <c r="W313" s="14"/>
      <c r="AA313" s="14"/>
    </row>
    <row r="314" ht="15.75" customHeight="1">
      <c r="F314" s="14"/>
      <c r="K314" s="14"/>
      <c r="L314" s="14"/>
      <c r="P314" s="14"/>
      <c r="T314" s="14"/>
      <c r="U314" s="14"/>
      <c r="V314" s="14"/>
      <c r="W314" s="14"/>
      <c r="AA314" s="14"/>
    </row>
    <row r="315" ht="15.75" customHeight="1">
      <c r="F315" s="14"/>
      <c r="K315" s="14"/>
      <c r="L315" s="14"/>
      <c r="P315" s="14"/>
      <c r="T315" s="14"/>
      <c r="U315" s="14"/>
      <c r="V315" s="14"/>
      <c r="W315" s="14"/>
      <c r="AA315" s="14"/>
    </row>
    <row r="316" ht="15.75" customHeight="1">
      <c r="F316" s="14"/>
      <c r="K316" s="14"/>
      <c r="L316" s="14"/>
      <c r="P316" s="14"/>
      <c r="T316" s="14"/>
      <c r="U316" s="14"/>
      <c r="V316" s="14"/>
      <c r="W316" s="14"/>
      <c r="AA316" s="14"/>
    </row>
    <row r="317" ht="15.75" customHeight="1">
      <c r="F317" s="14"/>
      <c r="K317" s="14"/>
      <c r="L317" s="14"/>
      <c r="P317" s="14"/>
      <c r="T317" s="14"/>
      <c r="U317" s="14"/>
      <c r="V317" s="14"/>
      <c r="W317" s="14"/>
      <c r="AA317" s="14"/>
    </row>
    <row r="318" ht="15.75" customHeight="1">
      <c r="F318" s="14"/>
      <c r="K318" s="14"/>
      <c r="L318" s="14"/>
      <c r="P318" s="14"/>
      <c r="T318" s="14"/>
      <c r="U318" s="14"/>
      <c r="V318" s="14"/>
      <c r="W318" s="14"/>
      <c r="AA318" s="14"/>
    </row>
    <row r="319" ht="15.75" customHeight="1">
      <c r="F319" s="14"/>
      <c r="K319" s="14"/>
      <c r="L319" s="14"/>
      <c r="P319" s="14"/>
      <c r="T319" s="14"/>
      <c r="U319" s="14"/>
      <c r="V319" s="14"/>
      <c r="W319" s="14"/>
      <c r="AA319" s="14"/>
    </row>
    <row r="320" ht="15.75" customHeight="1">
      <c r="F320" s="14"/>
      <c r="K320" s="14"/>
      <c r="L320" s="14"/>
      <c r="P320" s="14"/>
      <c r="T320" s="14"/>
      <c r="U320" s="14"/>
      <c r="V320" s="14"/>
      <c r="W320" s="14"/>
      <c r="AA320" s="14"/>
    </row>
    <row r="321" ht="15.75" customHeight="1">
      <c r="F321" s="14"/>
      <c r="K321" s="14"/>
      <c r="L321" s="14"/>
      <c r="P321" s="14"/>
      <c r="T321" s="14"/>
      <c r="U321" s="14"/>
      <c r="V321" s="14"/>
      <c r="W321" s="14"/>
      <c r="AA321" s="14"/>
    </row>
    <row r="322" ht="15.75" customHeight="1">
      <c r="F322" s="14"/>
      <c r="K322" s="14"/>
      <c r="L322" s="14"/>
      <c r="P322" s="14"/>
      <c r="T322" s="14"/>
      <c r="U322" s="14"/>
      <c r="V322" s="14"/>
      <c r="W322" s="14"/>
      <c r="AA322" s="14"/>
    </row>
    <row r="323" ht="15.75" customHeight="1">
      <c r="F323" s="14"/>
      <c r="K323" s="14"/>
      <c r="L323" s="14"/>
      <c r="P323" s="14"/>
      <c r="T323" s="14"/>
      <c r="U323" s="14"/>
      <c r="V323" s="14"/>
      <c r="W323" s="14"/>
      <c r="AA323" s="14"/>
    </row>
    <row r="324" ht="15.75" customHeight="1">
      <c r="F324" s="14"/>
      <c r="K324" s="14"/>
      <c r="L324" s="14"/>
      <c r="P324" s="14"/>
      <c r="T324" s="14"/>
      <c r="U324" s="14"/>
      <c r="V324" s="14"/>
      <c r="W324" s="14"/>
      <c r="AA324" s="14"/>
    </row>
    <row r="325" ht="15.75" customHeight="1">
      <c r="F325" s="14"/>
      <c r="K325" s="14"/>
      <c r="L325" s="14"/>
      <c r="P325" s="14"/>
      <c r="T325" s="14"/>
      <c r="U325" s="14"/>
      <c r="V325" s="14"/>
      <c r="W325" s="14"/>
      <c r="AA325" s="14"/>
    </row>
    <row r="326" ht="15.75" customHeight="1">
      <c r="F326" s="14"/>
      <c r="K326" s="14"/>
      <c r="L326" s="14"/>
      <c r="P326" s="14"/>
      <c r="T326" s="14"/>
      <c r="U326" s="14"/>
      <c r="V326" s="14"/>
      <c r="W326" s="14"/>
      <c r="AA326" s="14"/>
    </row>
    <row r="327" ht="15.75" customHeight="1">
      <c r="F327" s="14"/>
      <c r="K327" s="14"/>
      <c r="L327" s="14"/>
      <c r="P327" s="14"/>
      <c r="T327" s="14"/>
      <c r="U327" s="14"/>
      <c r="V327" s="14"/>
      <c r="W327" s="14"/>
      <c r="AA327" s="14"/>
    </row>
    <row r="328" ht="15.75" customHeight="1">
      <c r="F328" s="14"/>
      <c r="K328" s="14"/>
      <c r="L328" s="14"/>
      <c r="P328" s="14"/>
      <c r="T328" s="14"/>
      <c r="U328" s="14"/>
      <c r="V328" s="14"/>
      <c r="W328" s="14"/>
      <c r="AA328" s="14"/>
    </row>
    <row r="329" ht="15.75" customHeight="1">
      <c r="F329" s="14"/>
      <c r="K329" s="14"/>
      <c r="L329" s="14"/>
      <c r="P329" s="14"/>
      <c r="T329" s="14"/>
      <c r="U329" s="14"/>
      <c r="V329" s="14"/>
      <c r="W329" s="14"/>
      <c r="AA329" s="14"/>
    </row>
    <row r="330" ht="15.75" customHeight="1">
      <c r="F330" s="14"/>
      <c r="K330" s="14"/>
      <c r="L330" s="14"/>
      <c r="P330" s="14"/>
      <c r="T330" s="14"/>
      <c r="U330" s="14"/>
      <c r="V330" s="14"/>
      <c r="W330" s="14"/>
      <c r="AA330" s="14"/>
    </row>
    <row r="331" ht="15.75" customHeight="1">
      <c r="F331" s="14"/>
      <c r="K331" s="14"/>
      <c r="L331" s="14"/>
      <c r="P331" s="14"/>
      <c r="T331" s="14"/>
      <c r="U331" s="14"/>
      <c r="V331" s="14"/>
      <c r="W331" s="14"/>
      <c r="AA331" s="14"/>
    </row>
    <row r="332" ht="15.75" customHeight="1">
      <c r="F332" s="14"/>
      <c r="K332" s="14"/>
      <c r="L332" s="14"/>
      <c r="P332" s="14"/>
      <c r="T332" s="14"/>
      <c r="U332" s="14"/>
      <c r="V332" s="14"/>
      <c r="W332" s="14"/>
      <c r="AA332" s="14"/>
    </row>
    <row r="333" ht="15.75" customHeight="1">
      <c r="F333" s="14"/>
      <c r="K333" s="14"/>
      <c r="L333" s="14"/>
      <c r="P333" s="14"/>
      <c r="T333" s="14"/>
      <c r="U333" s="14"/>
      <c r="V333" s="14"/>
      <c r="W333" s="14"/>
      <c r="AA333" s="14"/>
    </row>
    <row r="334" ht="15.75" customHeight="1">
      <c r="F334" s="14"/>
      <c r="K334" s="14"/>
      <c r="L334" s="14"/>
      <c r="P334" s="14"/>
      <c r="T334" s="14"/>
      <c r="U334" s="14"/>
      <c r="V334" s="14"/>
      <c r="W334" s="14"/>
      <c r="AA334" s="14"/>
    </row>
    <row r="335" ht="15.75" customHeight="1">
      <c r="F335" s="14"/>
      <c r="K335" s="14"/>
      <c r="L335" s="14"/>
      <c r="P335" s="14"/>
      <c r="T335" s="14"/>
      <c r="U335" s="14"/>
      <c r="V335" s="14"/>
      <c r="W335" s="14"/>
      <c r="AA335" s="14"/>
    </row>
    <row r="336" ht="15.75" customHeight="1">
      <c r="F336" s="14"/>
      <c r="K336" s="14"/>
      <c r="L336" s="14"/>
      <c r="P336" s="14"/>
      <c r="T336" s="14"/>
      <c r="U336" s="14"/>
      <c r="V336" s="14"/>
      <c r="W336" s="14"/>
      <c r="AA336" s="14"/>
    </row>
    <row r="337" ht="15.75" customHeight="1">
      <c r="F337" s="14"/>
      <c r="K337" s="14"/>
      <c r="L337" s="14"/>
      <c r="P337" s="14"/>
      <c r="T337" s="14"/>
      <c r="U337" s="14"/>
      <c r="V337" s="14"/>
      <c r="W337" s="14"/>
      <c r="AA337" s="14"/>
    </row>
    <row r="338" ht="15.75" customHeight="1">
      <c r="F338" s="14"/>
      <c r="K338" s="14"/>
      <c r="L338" s="14"/>
      <c r="P338" s="14"/>
      <c r="T338" s="14"/>
      <c r="U338" s="14"/>
      <c r="V338" s="14"/>
      <c r="W338" s="14"/>
      <c r="AA338" s="14"/>
    </row>
    <row r="339" ht="15.75" customHeight="1">
      <c r="F339" s="14"/>
      <c r="K339" s="14"/>
      <c r="L339" s="14"/>
      <c r="P339" s="14"/>
      <c r="T339" s="14"/>
      <c r="U339" s="14"/>
      <c r="V339" s="14"/>
      <c r="W339" s="14"/>
      <c r="AA339" s="14"/>
    </row>
    <row r="340" ht="15.75" customHeight="1">
      <c r="F340" s="14"/>
      <c r="K340" s="14"/>
      <c r="L340" s="14"/>
      <c r="P340" s="14"/>
      <c r="T340" s="14"/>
      <c r="U340" s="14"/>
      <c r="V340" s="14"/>
      <c r="W340" s="14"/>
      <c r="AA340" s="14"/>
    </row>
    <row r="341" ht="15.75" customHeight="1">
      <c r="F341" s="14"/>
      <c r="K341" s="14"/>
      <c r="L341" s="14"/>
      <c r="P341" s="14"/>
      <c r="T341" s="14"/>
      <c r="U341" s="14"/>
      <c r="V341" s="14"/>
      <c r="W341" s="14"/>
      <c r="AA341" s="14"/>
    </row>
    <row r="342" ht="15.75" customHeight="1">
      <c r="F342" s="14"/>
      <c r="K342" s="14"/>
      <c r="L342" s="14"/>
      <c r="P342" s="14"/>
      <c r="T342" s="14"/>
      <c r="U342" s="14"/>
      <c r="V342" s="14"/>
      <c r="W342" s="14"/>
      <c r="AA342" s="14"/>
    </row>
    <row r="343" ht="15.75" customHeight="1">
      <c r="F343" s="14"/>
      <c r="K343" s="14"/>
      <c r="L343" s="14"/>
      <c r="P343" s="14"/>
      <c r="T343" s="14"/>
      <c r="U343" s="14"/>
      <c r="V343" s="14"/>
      <c r="W343" s="14"/>
      <c r="AA343" s="14"/>
    </row>
    <row r="344" ht="15.75" customHeight="1">
      <c r="F344" s="14"/>
      <c r="K344" s="14"/>
      <c r="L344" s="14"/>
      <c r="P344" s="14"/>
      <c r="T344" s="14"/>
      <c r="U344" s="14"/>
      <c r="V344" s="14"/>
      <c r="W344" s="14"/>
      <c r="AA344" s="14"/>
    </row>
    <row r="345" ht="15.75" customHeight="1">
      <c r="F345" s="14"/>
      <c r="K345" s="14"/>
      <c r="L345" s="14"/>
      <c r="P345" s="14"/>
      <c r="T345" s="14"/>
      <c r="U345" s="14"/>
      <c r="V345" s="14"/>
      <c r="W345" s="14"/>
      <c r="AA345" s="14"/>
    </row>
    <row r="346" ht="15.75" customHeight="1">
      <c r="F346" s="14"/>
      <c r="K346" s="14"/>
      <c r="L346" s="14"/>
      <c r="P346" s="14"/>
      <c r="T346" s="14"/>
      <c r="U346" s="14"/>
      <c r="V346" s="14"/>
      <c r="W346" s="14"/>
      <c r="AA346" s="14"/>
    </row>
    <row r="347" ht="15.75" customHeight="1">
      <c r="F347" s="14"/>
      <c r="K347" s="14"/>
      <c r="L347" s="14"/>
      <c r="P347" s="14"/>
      <c r="T347" s="14"/>
      <c r="U347" s="14"/>
      <c r="V347" s="14"/>
      <c r="W347" s="14"/>
      <c r="AA347" s="14"/>
    </row>
    <row r="348" ht="15.75" customHeight="1">
      <c r="F348" s="14"/>
      <c r="K348" s="14"/>
      <c r="L348" s="14"/>
      <c r="P348" s="14"/>
      <c r="T348" s="14"/>
      <c r="U348" s="14"/>
      <c r="V348" s="14"/>
      <c r="W348" s="14"/>
      <c r="AA348" s="14"/>
    </row>
    <row r="349" ht="15.75" customHeight="1">
      <c r="F349" s="14"/>
      <c r="K349" s="14"/>
      <c r="L349" s="14"/>
      <c r="P349" s="14"/>
      <c r="T349" s="14"/>
      <c r="U349" s="14"/>
      <c r="V349" s="14"/>
      <c r="W349" s="14"/>
      <c r="AA349" s="14"/>
    </row>
    <row r="350" ht="15.75" customHeight="1">
      <c r="F350" s="14"/>
      <c r="K350" s="14"/>
      <c r="L350" s="14"/>
      <c r="P350" s="14"/>
      <c r="T350" s="14"/>
      <c r="U350" s="14"/>
      <c r="V350" s="14"/>
      <c r="W350" s="14"/>
      <c r="AA350" s="14"/>
    </row>
    <row r="351" ht="15.75" customHeight="1">
      <c r="F351" s="14"/>
      <c r="K351" s="14"/>
      <c r="L351" s="14"/>
      <c r="P351" s="14"/>
      <c r="T351" s="14"/>
      <c r="U351" s="14"/>
      <c r="V351" s="14"/>
      <c r="W351" s="14"/>
      <c r="AA351" s="14"/>
    </row>
    <row r="352" ht="15.75" customHeight="1">
      <c r="F352" s="14"/>
      <c r="K352" s="14"/>
      <c r="L352" s="14"/>
      <c r="P352" s="14"/>
      <c r="T352" s="14"/>
      <c r="U352" s="14"/>
      <c r="V352" s="14"/>
      <c r="W352" s="14"/>
      <c r="AA352" s="14"/>
    </row>
    <row r="353" ht="15.75" customHeight="1">
      <c r="F353" s="14"/>
      <c r="K353" s="14"/>
      <c r="L353" s="14"/>
      <c r="P353" s="14"/>
      <c r="T353" s="14"/>
      <c r="U353" s="14"/>
      <c r="V353" s="14"/>
      <c r="W353" s="14"/>
      <c r="AA353" s="14"/>
    </row>
    <row r="354" ht="15.75" customHeight="1">
      <c r="F354" s="14"/>
      <c r="K354" s="14"/>
      <c r="L354" s="14"/>
      <c r="P354" s="14"/>
      <c r="T354" s="14"/>
      <c r="U354" s="14"/>
      <c r="V354" s="14"/>
      <c r="W354" s="14"/>
      <c r="AA354" s="14"/>
    </row>
    <row r="355" ht="15.75" customHeight="1">
      <c r="F355" s="14"/>
      <c r="K355" s="14"/>
      <c r="L355" s="14"/>
      <c r="P355" s="14"/>
      <c r="T355" s="14"/>
      <c r="U355" s="14"/>
      <c r="V355" s="14"/>
      <c r="W355" s="14"/>
      <c r="AA355" s="14"/>
    </row>
    <row r="356" ht="15.75" customHeight="1">
      <c r="F356" s="14"/>
      <c r="K356" s="14"/>
      <c r="L356" s="14"/>
      <c r="P356" s="14"/>
      <c r="T356" s="14"/>
      <c r="U356" s="14"/>
      <c r="V356" s="14"/>
      <c r="W356" s="14"/>
      <c r="AA356" s="14"/>
    </row>
    <row r="357" ht="15.75" customHeight="1">
      <c r="F357" s="14"/>
      <c r="K357" s="14"/>
      <c r="L357" s="14"/>
      <c r="P357" s="14"/>
      <c r="T357" s="14"/>
      <c r="U357" s="14"/>
      <c r="V357" s="14"/>
      <c r="W357" s="14"/>
      <c r="AA357" s="14"/>
    </row>
    <row r="358" ht="15.75" customHeight="1">
      <c r="F358" s="14"/>
      <c r="K358" s="14"/>
      <c r="L358" s="14"/>
      <c r="P358" s="14"/>
      <c r="T358" s="14"/>
      <c r="U358" s="14"/>
      <c r="V358" s="14"/>
      <c r="W358" s="14"/>
      <c r="AA358" s="14"/>
    </row>
    <row r="359" ht="15.75" customHeight="1">
      <c r="F359" s="14"/>
      <c r="K359" s="14"/>
      <c r="L359" s="14"/>
      <c r="P359" s="14"/>
      <c r="T359" s="14"/>
      <c r="U359" s="14"/>
      <c r="V359" s="14"/>
      <c r="W359" s="14"/>
      <c r="AA359" s="14"/>
    </row>
    <row r="360" ht="15.75" customHeight="1">
      <c r="F360" s="14"/>
      <c r="K360" s="14"/>
      <c r="L360" s="14"/>
      <c r="P360" s="14"/>
      <c r="T360" s="14"/>
      <c r="U360" s="14"/>
      <c r="V360" s="14"/>
      <c r="W360" s="14"/>
      <c r="AA360" s="14"/>
    </row>
    <row r="361" ht="15.75" customHeight="1">
      <c r="F361" s="14"/>
      <c r="K361" s="14"/>
      <c r="L361" s="14"/>
      <c r="P361" s="14"/>
      <c r="T361" s="14"/>
      <c r="U361" s="14"/>
      <c r="V361" s="14"/>
      <c r="W361" s="14"/>
      <c r="AA361" s="14"/>
    </row>
    <row r="362" ht="15.75" customHeight="1">
      <c r="F362" s="14"/>
      <c r="K362" s="14"/>
      <c r="L362" s="14"/>
      <c r="P362" s="14"/>
      <c r="T362" s="14"/>
      <c r="U362" s="14"/>
      <c r="V362" s="14"/>
      <c r="W362" s="14"/>
      <c r="AA362" s="14"/>
    </row>
    <row r="363" ht="15.75" customHeight="1">
      <c r="F363" s="14"/>
      <c r="K363" s="14"/>
      <c r="L363" s="14"/>
      <c r="P363" s="14"/>
      <c r="T363" s="14"/>
      <c r="U363" s="14"/>
      <c r="V363" s="14"/>
      <c r="W363" s="14"/>
      <c r="AA363" s="14"/>
    </row>
    <row r="364" ht="15.75" customHeight="1">
      <c r="F364" s="14"/>
      <c r="K364" s="14"/>
      <c r="L364" s="14"/>
      <c r="P364" s="14"/>
      <c r="T364" s="14"/>
      <c r="U364" s="14"/>
      <c r="V364" s="14"/>
      <c r="W364" s="14"/>
      <c r="AA364" s="14"/>
    </row>
    <row r="365" ht="15.75" customHeight="1">
      <c r="F365" s="14"/>
      <c r="K365" s="14"/>
      <c r="L365" s="14"/>
      <c r="P365" s="14"/>
      <c r="T365" s="14"/>
      <c r="U365" s="14"/>
      <c r="V365" s="14"/>
      <c r="W365" s="14"/>
      <c r="AA365" s="14"/>
    </row>
    <row r="366" ht="15.75" customHeight="1">
      <c r="F366" s="14"/>
      <c r="K366" s="14"/>
      <c r="L366" s="14"/>
      <c r="P366" s="14"/>
      <c r="T366" s="14"/>
      <c r="U366" s="14"/>
      <c r="V366" s="14"/>
      <c r="W366" s="14"/>
      <c r="AA366" s="14"/>
    </row>
    <row r="367" ht="15.75" customHeight="1">
      <c r="F367" s="14"/>
      <c r="K367" s="14"/>
      <c r="L367" s="14"/>
      <c r="P367" s="14"/>
      <c r="T367" s="14"/>
      <c r="U367" s="14"/>
      <c r="V367" s="14"/>
      <c r="W367" s="14"/>
      <c r="AA367" s="14"/>
    </row>
    <row r="368" ht="15.75" customHeight="1">
      <c r="F368" s="14"/>
      <c r="K368" s="14"/>
      <c r="L368" s="14"/>
      <c r="P368" s="14"/>
      <c r="T368" s="14"/>
      <c r="U368" s="14"/>
      <c r="V368" s="14"/>
      <c r="W368" s="14"/>
      <c r="AA368" s="14"/>
    </row>
    <row r="369" ht="15.75" customHeight="1">
      <c r="F369" s="14"/>
      <c r="K369" s="14"/>
      <c r="L369" s="14"/>
      <c r="P369" s="14"/>
      <c r="T369" s="14"/>
      <c r="U369" s="14"/>
      <c r="V369" s="14"/>
      <c r="W369" s="14"/>
      <c r="AA369" s="14"/>
    </row>
    <row r="370" ht="15.75" customHeight="1">
      <c r="F370" s="14"/>
      <c r="K370" s="14"/>
      <c r="L370" s="14"/>
      <c r="P370" s="14"/>
      <c r="T370" s="14"/>
      <c r="U370" s="14"/>
      <c r="V370" s="14"/>
      <c r="W370" s="14"/>
      <c r="AA370" s="14"/>
    </row>
    <row r="371" ht="15.75" customHeight="1">
      <c r="F371" s="14"/>
      <c r="K371" s="14"/>
      <c r="L371" s="14"/>
      <c r="P371" s="14"/>
      <c r="T371" s="14"/>
      <c r="U371" s="14"/>
      <c r="V371" s="14"/>
      <c r="W371" s="14"/>
      <c r="AA371" s="14"/>
    </row>
    <row r="372" ht="15.75" customHeight="1">
      <c r="F372" s="14"/>
      <c r="K372" s="14"/>
      <c r="L372" s="14"/>
      <c r="P372" s="14"/>
      <c r="T372" s="14"/>
      <c r="U372" s="14"/>
      <c r="V372" s="14"/>
      <c r="W372" s="14"/>
      <c r="AA372" s="14"/>
    </row>
    <row r="373" ht="15.75" customHeight="1">
      <c r="F373" s="14"/>
      <c r="K373" s="14"/>
      <c r="L373" s="14"/>
      <c r="P373" s="14"/>
      <c r="T373" s="14"/>
      <c r="U373" s="14"/>
      <c r="V373" s="14"/>
      <c r="W373" s="14"/>
      <c r="AA373" s="14"/>
    </row>
    <row r="374" ht="15.75" customHeight="1">
      <c r="F374" s="14"/>
      <c r="K374" s="14"/>
      <c r="L374" s="14"/>
      <c r="P374" s="14"/>
      <c r="T374" s="14"/>
      <c r="U374" s="14"/>
      <c r="V374" s="14"/>
      <c r="W374" s="14"/>
      <c r="AA374" s="14"/>
    </row>
    <row r="375" ht="15.75" customHeight="1">
      <c r="F375" s="14"/>
      <c r="K375" s="14"/>
      <c r="L375" s="14"/>
      <c r="P375" s="14"/>
      <c r="T375" s="14"/>
      <c r="U375" s="14"/>
      <c r="V375" s="14"/>
      <c r="W375" s="14"/>
      <c r="AA375" s="14"/>
    </row>
    <row r="376" ht="15.75" customHeight="1">
      <c r="F376" s="14"/>
      <c r="K376" s="14"/>
      <c r="L376" s="14"/>
      <c r="P376" s="14"/>
      <c r="T376" s="14"/>
      <c r="U376" s="14"/>
      <c r="V376" s="14"/>
      <c r="W376" s="14"/>
      <c r="AA376" s="14"/>
    </row>
    <row r="377" ht="15.75" customHeight="1">
      <c r="F377" s="14"/>
      <c r="K377" s="14"/>
      <c r="L377" s="14"/>
      <c r="P377" s="14"/>
      <c r="T377" s="14"/>
      <c r="U377" s="14"/>
      <c r="V377" s="14"/>
      <c r="W377" s="14"/>
      <c r="AA377" s="14"/>
    </row>
    <row r="378" ht="15.75" customHeight="1">
      <c r="F378" s="14"/>
      <c r="K378" s="14"/>
      <c r="L378" s="14"/>
      <c r="P378" s="14"/>
      <c r="T378" s="14"/>
      <c r="U378" s="14"/>
      <c r="V378" s="14"/>
      <c r="W378" s="14"/>
      <c r="AA378" s="14"/>
    </row>
    <row r="379" ht="15.75" customHeight="1">
      <c r="F379" s="14"/>
      <c r="K379" s="14"/>
      <c r="L379" s="14"/>
      <c r="P379" s="14"/>
      <c r="T379" s="14"/>
      <c r="U379" s="14"/>
      <c r="V379" s="14"/>
      <c r="W379" s="14"/>
      <c r="AA379" s="14"/>
    </row>
    <row r="380" ht="15.75" customHeight="1">
      <c r="F380" s="14"/>
      <c r="K380" s="14"/>
      <c r="L380" s="14"/>
      <c r="P380" s="14"/>
      <c r="T380" s="14"/>
      <c r="U380" s="14"/>
      <c r="V380" s="14"/>
      <c r="W380" s="14"/>
      <c r="AA380" s="14"/>
    </row>
    <row r="381" ht="15.75" customHeight="1">
      <c r="F381" s="14"/>
      <c r="K381" s="14"/>
      <c r="L381" s="14"/>
      <c r="P381" s="14"/>
      <c r="T381" s="14"/>
      <c r="U381" s="14"/>
      <c r="V381" s="14"/>
      <c r="W381" s="14"/>
      <c r="AA381" s="14"/>
    </row>
    <row r="382" ht="15.75" customHeight="1">
      <c r="F382" s="14"/>
      <c r="K382" s="14"/>
      <c r="L382" s="14"/>
      <c r="P382" s="14"/>
      <c r="T382" s="14"/>
      <c r="U382" s="14"/>
      <c r="V382" s="14"/>
      <c r="W382" s="14"/>
      <c r="AA382" s="14"/>
    </row>
    <row r="383" ht="15.75" customHeight="1">
      <c r="F383" s="14"/>
      <c r="K383" s="14"/>
      <c r="L383" s="14"/>
      <c r="P383" s="14"/>
      <c r="T383" s="14"/>
      <c r="U383" s="14"/>
      <c r="V383" s="14"/>
      <c r="W383" s="14"/>
      <c r="AA383" s="14"/>
    </row>
    <row r="384" ht="15.75" customHeight="1">
      <c r="F384" s="14"/>
      <c r="K384" s="14"/>
      <c r="L384" s="14"/>
      <c r="P384" s="14"/>
      <c r="T384" s="14"/>
      <c r="U384" s="14"/>
      <c r="V384" s="14"/>
      <c r="W384" s="14"/>
      <c r="AA384" s="14"/>
    </row>
    <row r="385" ht="15.75" customHeight="1">
      <c r="F385" s="14"/>
      <c r="K385" s="14"/>
      <c r="L385" s="14"/>
      <c r="P385" s="14"/>
      <c r="T385" s="14"/>
      <c r="U385" s="14"/>
      <c r="V385" s="14"/>
      <c r="W385" s="14"/>
      <c r="AA385" s="14"/>
    </row>
    <row r="386" ht="15.75" customHeight="1">
      <c r="F386" s="14"/>
      <c r="K386" s="14"/>
      <c r="L386" s="14"/>
      <c r="P386" s="14"/>
      <c r="T386" s="14"/>
      <c r="U386" s="14"/>
      <c r="V386" s="14"/>
      <c r="W386" s="14"/>
      <c r="AA386" s="14"/>
    </row>
    <row r="387" ht="15.75" customHeight="1">
      <c r="F387" s="14"/>
      <c r="K387" s="14"/>
      <c r="L387" s="14"/>
      <c r="P387" s="14"/>
      <c r="T387" s="14"/>
      <c r="U387" s="14"/>
      <c r="V387" s="14"/>
      <c r="W387" s="14"/>
      <c r="AA387" s="14"/>
    </row>
    <row r="388" ht="15.75" customHeight="1">
      <c r="F388" s="14"/>
      <c r="K388" s="14"/>
      <c r="L388" s="14"/>
      <c r="P388" s="14"/>
      <c r="T388" s="14"/>
      <c r="U388" s="14"/>
      <c r="V388" s="14"/>
      <c r="W388" s="14"/>
      <c r="AA388" s="14"/>
    </row>
    <row r="389" ht="15.75" customHeight="1">
      <c r="F389" s="14"/>
      <c r="K389" s="14"/>
      <c r="L389" s="14"/>
      <c r="P389" s="14"/>
      <c r="T389" s="14"/>
      <c r="U389" s="14"/>
      <c r="V389" s="14"/>
      <c r="W389" s="14"/>
      <c r="AA389" s="14"/>
    </row>
    <row r="390" ht="15.75" customHeight="1">
      <c r="F390" s="14"/>
      <c r="K390" s="14"/>
      <c r="L390" s="14"/>
      <c r="P390" s="14"/>
      <c r="T390" s="14"/>
      <c r="U390" s="14"/>
      <c r="V390" s="14"/>
      <c r="W390" s="14"/>
      <c r="AA390" s="14"/>
    </row>
    <row r="391" ht="15.75" customHeight="1">
      <c r="F391" s="14"/>
      <c r="K391" s="14"/>
      <c r="L391" s="14"/>
      <c r="P391" s="14"/>
      <c r="T391" s="14"/>
      <c r="U391" s="14"/>
      <c r="V391" s="14"/>
      <c r="W391" s="14"/>
      <c r="AA391" s="14"/>
    </row>
    <row r="392" ht="15.75" customHeight="1">
      <c r="F392" s="14"/>
      <c r="K392" s="14"/>
      <c r="L392" s="14"/>
      <c r="P392" s="14"/>
      <c r="T392" s="14"/>
      <c r="U392" s="14"/>
      <c r="V392" s="14"/>
      <c r="W392" s="14"/>
      <c r="AA392" s="14"/>
    </row>
    <row r="393" ht="15.75" customHeight="1">
      <c r="F393" s="14"/>
      <c r="K393" s="14"/>
      <c r="L393" s="14"/>
      <c r="P393" s="14"/>
      <c r="T393" s="14"/>
      <c r="U393" s="14"/>
      <c r="V393" s="14"/>
      <c r="W393" s="14"/>
      <c r="AA393" s="14"/>
    </row>
    <row r="394" ht="15.75" customHeight="1">
      <c r="F394" s="14"/>
      <c r="K394" s="14"/>
      <c r="L394" s="14"/>
      <c r="P394" s="14"/>
      <c r="T394" s="14"/>
      <c r="U394" s="14"/>
      <c r="V394" s="14"/>
      <c r="W394" s="14"/>
      <c r="AA394" s="14"/>
    </row>
    <row r="395" ht="15.75" customHeight="1">
      <c r="F395" s="14"/>
      <c r="K395" s="14"/>
      <c r="L395" s="14"/>
      <c r="P395" s="14"/>
      <c r="T395" s="14"/>
      <c r="U395" s="14"/>
      <c r="V395" s="14"/>
      <c r="W395" s="14"/>
      <c r="AA395" s="14"/>
    </row>
    <row r="396" ht="15.75" customHeight="1">
      <c r="F396" s="14"/>
      <c r="K396" s="14"/>
      <c r="L396" s="14"/>
      <c r="P396" s="14"/>
      <c r="T396" s="14"/>
      <c r="U396" s="14"/>
      <c r="V396" s="14"/>
      <c r="W396" s="14"/>
      <c r="AA396" s="14"/>
    </row>
    <row r="397" ht="15.75" customHeight="1">
      <c r="F397" s="14"/>
      <c r="K397" s="14"/>
      <c r="L397" s="14"/>
      <c r="P397" s="14"/>
      <c r="T397" s="14"/>
      <c r="U397" s="14"/>
      <c r="V397" s="14"/>
      <c r="W397" s="14"/>
      <c r="AA397" s="14"/>
    </row>
    <row r="398" ht="15.75" customHeight="1">
      <c r="F398" s="14"/>
      <c r="K398" s="14"/>
      <c r="L398" s="14"/>
      <c r="P398" s="14"/>
      <c r="T398" s="14"/>
      <c r="U398" s="14"/>
      <c r="V398" s="14"/>
      <c r="W398" s="14"/>
      <c r="AA398" s="14"/>
    </row>
    <row r="399" ht="15.75" customHeight="1">
      <c r="F399" s="14"/>
      <c r="K399" s="14"/>
      <c r="L399" s="14"/>
      <c r="P399" s="14"/>
      <c r="T399" s="14"/>
      <c r="U399" s="14"/>
      <c r="V399" s="14"/>
      <c r="W399" s="14"/>
      <c r="AA399" s="14"/>
    </row>
    <row r="400" ht="15.75" customHeight="1">
      <c r="F400" s="14"/>
      <c r="K400" s="14"/>
      <c r="L400" s="14"/>
      <c r="P400" s="14"/>
      <c r="T400" s="14"/>
      <c r="U400" s="14"/>
      <c r="V400" s="14"/>
      <c r="W400" s="14"/>
      <c r="AA400" s="14"/>
    </row>
    <row r="401" ht="15.75" customHeight="1">
      <c r="F401" s="14"/>
      <c r="K401" s="14"/>
      <c r="L401" s="14"/>
      <c r="P401" s="14"/>
      <c r="T401" s="14"/>
      <c r="U401" s="14"/>
      <c r="V401" s="14"/>
      <c r="W401" s="14"/>
      <c r="AA401" s="14"/>
    </row>
    <row r="402" ht="15.75" customHeight="1">
      <c r="F402" s="14"/>
      <c r="K402" s="14"/>
      <c r="L402" s="14"/>
      <c r="P402" s="14"/>
      <c r="T402" s="14"/>
      <c r="U402" s="14"/>
      <c r="V402" s="14"/>
      <c r="W402" s="14"/>
      <c r="AA402" s="14"/>
    </row>
    <row r="403" ht="15.75" customHeight="1">
      <c r="F403" s="14"/>
      <c r="K403" s="14"/>
      <c r="L403" s="14"/>
      <c r="P403" s="14"/>
      <c r="T403" s="14"/>
      <c r="U403" s="14"/>
      <c r="V403" s="14"/>
      <c r="W403" s="14"/>
      <c r="AA403" s="14"/>
    </row>
    <row r="404" ht="15.75" customHeight="1">
      <c r="F404" s="14"/>
      <c r="K404" s="14"/>
      <c r="L404" s="14"/>
      <c r="P404" s="14"/>
      <c r="T404" s="14"/>
      <c r="U404" s="14"/>
      <c r="V404" s="14"/>
      <c r="W404" s="14"/>
      <c r="AA404" s="14"/>
    </row>
    <row r="405" ht="15.75" customHeight="1">
      <c r="F405" s="14"/>
      <c r="K405" s="14"/>
      <c r="L405" s="14"/>
      <c r="P405" s="14"/>
      <c r="T405" s="14"/>
      <c r="U405" s="14"/>
      <c r="V405" s="14"/>
      <c r="W405" s="14"/>
      <c r="AA405" s="14"/>
    </row>
    <row r="406" ht="15.75" customHeight="1">
      <c r="F406" s="14"/>
      <c r="K406" s="14"/>
      <c r="L406" s="14"/>
      <c r="P406" s="14"/>
      <c r="T406" s="14"/>
      <c r="U406" s="14"/>
      <c r="V406" s="14"/>
      <c r="W406" s="14"/>
      <c r="AA406" s="14"/>
    </row>
    <row r="407" ht="15.75" customHeight="1">
      <c r="F407" s="14"/>
      <c r="K407" s="14"/>
      <c r="L407" s="14"/>
      <c r="P407" s="14"/>
      <c r="T407" s="14"/>
      <c r="U407" s="14"/>
      <c r="V407" s="14"/>
      <c r="W407" s="14"/>
      <c r="AA407" s="14"/>
    </row>
    <row r="408" ht="15.75" customHeight="1">
      <c r="F408" s="14"/>
      <c r="K408" s="14"/>
      <c r="L408" s="14"/>
      <c r="P408" s="14"/>
      <c r="T408" s="14"/>
      <c r="U408" s="14"/>
      <c r="V408" s="14"/>
      <c r="W408" s="14"/>
      <c r="AA408" s="14"/>
    </row>
    <row r="409" ht="15.75" customHeight="1">
      <c r="F409" s="14"/>
      <c r="K409" s="14"/>
      <c r="L409" s="14"/>
      <c r="P409" s="14"/>
      <c r="T409" s="14"/>
      <c r="U409" s="14"/>
      <c r="V409" s="14"/>
      <c r="W409" s="14"/>
      <c r="AA409" s="14"/>
    </row>
    <row r="410" ht="15.75" customHeight="1">
      <c r="F410" s="14"/>
      <c r="K410" s="14"/>
      <c r="L410" s="14"/>
      <c r="P410" s="14"/>
      <c r="T410" s="14"/>
      <c r="U410" s="14"/>
      <c r="V410" s="14"/>
      <c r="W410" s="14"/>
      <c r="AA410" s="14"/>
    </row>
    <row r="411" ht="15.75" customHeight="1">
      <c r="F411" s="14"/>
      <c r="K411" s="14"/>
      <c r="L411" s="14"/>
      <c r="P411" s="14"/>
      <c r="T411" s="14"/>
      <c r="U411" s="14"/>
      <c r="V411" s="14"/>
      <c r="W411" s="14"/>
      <c r="AA411" s="14"/>
    </row>
    <row r="412" ht="15.75" customHeight="1">
      <c r="F412" s="14"/>
      <c r="K412" s="14"/>
      <c r="L412" s="14"/>
      <c r="P412" s="14"/>
      <c r="T412" s="14"/>
      <c r="U412" s="14"/>
      <c r="V412" s="14"/>
      <c r="W412" s="14"/>
      <c r="AA412" s="14"/>
    </row>
    <row r="413" ht="15.75" customHeight="1">
      <c r="F413" s="14"/>
      <c r="K413" s="14"/>
      <c r="L413" s="14"/>
      <c r="P413" s="14"/>
      <c r="T413" s="14"/>
      <c r="U413" s="14"/>
      <c r="V413" s="14"/>
      <c r="W413" s="14"/>
      <c r="AA413" s="14"/>
    </row>
    <row r="414" ht="15.75" customHeight="1">
      <c r="F414" s="14"/>
      <c r="K414" s="14"/>
      <c r="L414" s="14"/>
      <c r="P414" s="14"/>
      <c r="T414" s="14"/>
      <c r="U414" s="14"/>
      <c r="V414" s="14"/>
      <c r="W414" s="14"/>
      <c r="AA414" s="14"/>
    </row>
    <row r="415" ht="15.75" customHeight="1">
      <c r="F415" s="14"/>
      <c r="K415" s="14"/>
      <c r="L415" s="14"/>
      <c r="P415" s="14"/>
      <c r="T415" s="14"/>
      <c r="U415" s="14"/>
      <c r="V415" s="14"/>
      <c r="W415" s="14"/>
      <c r="AA415" s="14"/>
    </row>
    <row r="416" ht="15.75" customHeight="1">
      <c r="F416" s="14"/>
      <c r="K416" s="14"/>
      <c r="L416" s="14"/>
      <c r="P416" s="14"/>
      <c r="T416" s="14"/>
      <c r="U416" s="14"/>
      <c r="V416" s="14"/>
      <c r="W416" s="14"/>
      <c r="AA416" s="14"/>
    </row>
    <row r="417" ht="15.75" customHeight="1">
      <c r="F417" s="14"/>
      <c r="K417" s="14"/>
      <c r="L417" s="14"/>
      <c r="P417" s="14"/>
      <c r="T417" s="14"/>
      <c r="U417" s="14"/>
      <c r="V417" s="14"/>
      <c r="W417" s="14"/>
      <c r="AA417" s="14"/>
    </row>
    <row r="418" ht="15.75" customHeight="1">
      <c r="F418" s="14"/>
      <c r="K418" s="14"/>
      <c r="L418" s="14"/>
      <c r="P418" s="14"/>
      <c r="T418" s="14"/>
      <c r="U418" s="14"/>
      <c r="V418" s="14"/>
      <c r="W418" s="14"/>
      <c r="AA418" s="14"/>
    </row>
    <row r="419" ht="15.75" customHeight="1">
      <c r="F419" s="14"/>
      <c r="K419" s="14"/>
      <c r="L419" s="14"/>
      <c r="P419" s="14"/>
      <c r="T419" s="14"/>
      <c r="U419" s="14"/>
      <c r="V419" s="14"/>
      <c r="W419" s="14"/>
      <c r="AA419" s="14"/>
    </row>
    <row r="420" ht="15.75" customHeight="1">
      <c r="F420" s="14"/>
      <c r="K420" s="14"/>
      <c r="L420" s="14"/>
      <c r="P420" s="14"/>
      <c r="T420" s="14"/>
      <c r="U420" s="14"/>
      <c r="V420" s="14"/>
      <c r="W420" s="14"/>
      <c r="AA420" s="14"/>
    </row>
    <row r="421" ht="15.75" customHeight="1">
      <c r="F421" s="14"/>
      <c r="K421" s="14"/>
      <c r="L421" s="14"/>
      <c r="P421" s="14"/>
      <c r="T421" s="14"/>
      <c r="U421" s="14"/>
      <c r="V421" s="14"/>
      <c r="W421" s="14"/>
      <c r="AA421" s="14"/>
    </row>
    <row r="422" ht="15.75" customHeight="1">
      <c r="F422" s="14"/>
      <c r="K422" s="14"/>
      <c r="L422" s="14"/>
      <c r="P422" s="14"/>
      <c r="T422" s="14"/>
      <c r="U422" s="14"/>
      <c r="V422" s="14"/>
      <c r="W422" s="14"/>
      <c r="AA422" s="14"/>
    </row>
    <row r="423" ht="15.75" customHeight="1">
      <c r="F423" s="14"/>
      <c r="K423" s="14"/>
      <c r="L423" s="14"/>
      <c r="P423" s="14"/>
      <c r="T423" s="14"/>
      <c r="U423" s="14"/>
      <c r="V423" s="14"/>
      <c r="W423" s="14"/>
      <c r="AA423" s="14"/>
    </row>
    <row r="424" ht="15.75" customHeight="1">
      <c r="F424" s="14"/>
      <c r="K424" s="14"/>
      <c r="L424" s="14"/>
      <c r="P424" s="14"/>
      <c r="T424" s="14"/>
      <c r="U424" s="14"/>
      <c r="V424" s="14"/>
      <c r="W424" s="14"/>
      <c r="AA424" s="14"/>
    </row>
    <row r="425" ht="15.75" customHeight="1">
      <c r="F425" s="14"/>
      <c r="K425" s="14"/>
      <c r="L425" s="14"/>
      <c r="P425" s="14"/>
      <c r="T425" s="14"/>
      <c r="U425" s="14"/>
      <c r="V425" s="14"/>
      <c r="W425" s="14"/>
      <c r="AA425" s="14"/>
    </row>
    <row r="426" ht="15.75" customHeight="1">
      <c r="F426" s="14"/>
      <c r="K426" s="14"/>
      <c r="L426" s="14"/>
      <c r="P426" s="14"/>
      <c r="T426" s="14"/>
      <c r="U426" s="14"/>
      <c r="V426" s="14"/>
      <c r="W426" s="14"/>
      <c r="AA426" s="14"/>
    </row>
    <row r="427" ht="15.75" customHeight="1">
      <c r="F427" s="14"/>
      <c r="K427" s="14"/>
      <c r="L427" s="14"/>
      <c r="P427" s="14"/>
      <c r="T427" s="14"/>
      <c r="U427" s="14"/>
      <c r="V427" s="14"/>
      <c r="W427" s="14"/>
      <c r="AA427" s="14"/>
    </row>
    <row r="428" ht="15.75" customHeight="1">
      <c r="F428" s="14"/>
      <c r="K428" s="14"/>
      <c r="L428" s="14"/>
      <c r="P428" s="14"/>
      <c r="T428" s="14"/>
      <c r="U428" s="14"/>
      <c r="V428" s="14"/>
      <c r="W428" s="14"/>
      <c r="AA428" s="14"/>
    </row>
    <row r="429" ht="15.75" customHeight="1">
      <c r="F429" s="14"/>
      <c r="K429" s="14"/>
      <c r="L429" s="14"/>
      <c r="P429" s="14"/>
      <c r="T429" s="14"/>
      <c r="U429" s="14"/>
      <c r="V429" s="14"/>
      <c r="W429" s="14"/>
      <c r="AA429" s="14"/>
    </row>
    <row r="430" ht="15.75" customHeight="1">
      <c r="F430" s="14"/>
      <c r="K430" s="14"/>
      <c r="L430" s="14"/>
      <c r="P430" s="14"/>
      <c r="T430" s="14"/>
      <c r="U430" s="14"/>
      <c r="V430" s="14"/>
      <c r="W430" s="14"/>
      <c r="AA430" s="14"/>
    </row>
    <row r="431" ht="15.75" customHeight="1">
      <c r="F431" s="14"/>
      <c r="K431" s="14"/>
      <c r="L431" s="14"/>
      <c r="P431" s="14"/>
      <c r="T431" s="14"/>
      <c r="U431" s="14"/>
      <c r="V431" s="14"/>
      <c r="W431" s="14"/>
      <c r="AA431" s="14"/>
    </row>
    <row r="432" ht="15.75" customHeight="1">
      <c r="F432" s="14"/>
      <c r="K432" s="14"/>
      <c r="L432" s="14"/>
      <c r="P432" s="14"/>
      <c r="T432" s="14"/>
      <c r="U432" s="14"/>
      <c r="V432" s="14"/>
      <c r="W432" s="14"/>
      <c r="AA432" s="14"/>
    </row>
    <row r="433" ht="15.75" customHeight="1">
      <c r="F433" s="14"/>
      <c r="K433" s="14"/>
      <c r="L433" s="14"/>
      <c r="P433" s="14"/>
      <c r="T433" s="14"/>
      <c r="U433" s="14"/>
      <c r="V433" s="14"/>
      <c r="W433" s="14"/>
      <c r="AA433" s="14"/>
    </row>
    <row r="434" ht="15.75" customHeight="1">
      <c r="F434" s="14"/>
      <c r="K434" s="14"/>
      <c r="L434" s="14"/>
      <c r="P434" s="14"/>
      <c r="T434" s="14"/>
      <c r="U434" s="14"/>
      <c r="V434" s="14"/>
      <c r="W434" s="14"/>
      <c r="AA434" s="14"/>
    </row>
    <row r="435" ht="15.75" customHeight="1">
      <c r="F435" s="14"/>
      <c r="K435" s="14"/>
      <c r="L435" s="14"/>
      <c r="P435" s="14"/>
      <c r="T435" s="14"/>
      <c r="U435" s="14"/>
      <c r="V435" s="14"/>
      <c r="W435" s="14"/>
      <c r="AA435" s="14"/>
    </row>
    <row r="436" ht="15.75" customHeight="1">
      <c r="F436" s="14"/>
      <c r="K436" s="14"/>
      <c r="L436" s="14"/>
      <c r="P436" s="14"/>
      <c r="T436" s="14"/>
      <c r="U436" s="14"/>
      <c r="V436" s="14"/>
      <c r="W436" s="14"/>
      <c r="AA436" s="14"/>
    </row>
    <row r="437" ht="15.75" customHeight="1">
      <c r="F437" s="14"/>
      <c r="K437" s="14"/>
      <c r="L437" s="14"/>
      <c r="P437" s="14"/>
      <c r="T437" s="14"/>
      <c r="U437" s="14"/>
      <c r="V437" s="14"/>
      <c r="W437" s="14"/>
      <c r="AA437" s="14"/>
    </row>
    <row r="438" ht="15.75" customHeight="1">
      <c r="F438" s="14"/>
      <c r="K438" s="14"/>
      <c r="L438" s="14"/>
      <c r="P438" s="14"/>
      <c r="T438" s="14"/>
      <c r="U438" s="14"/>
      <c r="V438" s="14"/>
      <c r="W438" s="14"/>
      <c r="AA438" s="14"/>
    </row>
    <row r="439" ht="15.75" customHeight="1">
      <c r="F439" s="14"/>
      <c r="K439" s="14"/>
      <c r="L439" s="14"/>
      <c r="P439" s="14"/>
      <c r="T439" s="14"/>
      <c r="U439" s="14"/>
      <c r="V439" s="14"/>
      <c r="W439" s="14"/>
      <c r="AA439" s="14"/>
    </row>
    <row r="440" ht="15.75" customHeight="1">
      <c r="F440" s="14"/>
      <c r="K440" s="14"/>
      <c r="L440" s="14"/>
      <c r="P440" s="14"/>
      <c r="T440" s="14"/>
      <c r="U440" s="14"/>
      <c r="V440" s="14"/>
      <c r="W440" s="14"/>
      <c r="AA440" s="14"/>
    </row>
    <row r="441" ht="15.75" customHeight="1">
      <c r="F441" s="14"/>
      <c r="K441" s="14"/>
      <c r="L441" s="14"/>
      <c r="P441" s="14"/>
      <c r="T441" s="14"/>
      <c r="U441" s="14"/>
      <c r="V441" s="14"/>
      <c r="W441" s="14"/>
      <c r="AA441" s="14"/>
    </row>
    <row r="442" ht="15.75" customHeight="1">
      <c r="F442" s="14"/>
      <c r="K442" s="14"/>
      <c r="L442" s="14"/>
      <c r="P442" s="14"/>
      <c r="T442" s="14"/>
      <c r="U442" s="14"/>
      <c r="V442" s="14"/>
      <c r="W442" s="14"/>
      <c r="AA442" s="14"/>
    </row>
    <row r="443" ht="15.75" customHeight="1">
      <c r="F443" s="14"/>
      <c r="K443" s="14"/>
      <c r="L443" s="14"/>
      <c r="P443" s="14"/>
      <c r="T443" s="14"/>
      <c r="U443" s="14"/>
      <c r="V443" s="14"/>
      <c r="W443" s="14"/>
      <c r="AA443" s="14"/>
    </row>
    <row r="444" ht="15.75" customHeight="1">
      <c r="F444" s="14"/>
      <c r="K444" s="14"/>
      <c r="L444" s="14"/>
      <c r="P444" s="14"/>
      <c r="T444" s="14"/>
      <c r="U444" s="14"/>
      <c r="V444" s="14"/>
      <c r="W444" s="14"/>
      <c r="AA444" s="14"/>
    </row>
    <row r="445" ht="15.75" customHeight="1">
      <c r="F445" s="14"/>
      <c r="K445" s="14"/>
      <c r="L445" s="14"/>
      <c r="P445" s="14"/>
      <c r="T445" s="14"/>
      <c r="U445" s="14"/>
      <c r="V445" s="14"/>
      <c r="W445" s="14"/>
      <c r="AA445" s="14"/>
    </row>
    <row r="446" ht="15.75" customHeight="1">
      <c r="F446" s="14"/>
      <c r="K446" s="14"/>
      <c r="L446" s="14"/>
      <c r="P446" s="14"/>
      <c r="T446" s="14"/>
      <c r="U446" s="14"/>
      <c r="V446" s="14"/>
      <c r="W446" s="14"/>
      <c r="AA446" s="14"/>
    </row>
    <row r="447" ht="15.75" customHeight="1">
      <c r="F447" s="14"/>
      <c r="K447" s="14"/>
      <c r="L447" s="14"/>
      <c r="P447" s="14"/>
      <c r="T447" s="14"/>
      <c r="U447" s="14"/>
      <c r="V447" s="14"/>
      <c r="W447" s="14"/>
      <c r="AA447" s="14"/>
    </row>
    <row r="448" ht="15.75" customHeight="1">
      <c r="F448" s="14"/>
      <c r="K448" s="14"/>
      <c r="L448" s="14"/>
      <c r="P448" s="14"/>
      <c r="T448" s="14"/>
      <c r="U448" s="14"/>
      <c r="V448" s="14"/>
      <c r="W448" s="14"/>
      <c r="AA448" s="14"/>
    </row>
    <row r="449" ht="15.75" customHeight="1">
      <c r="F449" s="14"/>
      <c r="K449" s="14"/>
      <c r="L449" s="14"/>
      <c r="P449" s="14"/>
      <c r="T449" s="14"/>
      <c r="U449" s="14"/>
      <c r="V449" s="14"/>
      <c r="W449" s="14"/>
      <c r="AA449" s="14"/>
    </row>
    <row r="450" ht="15.75" customHeight="1">
      <c r="F450" s="14"/>
      <c r="K450" s="14"/>
      <c r="L450" s="14"/>
      <c r="P450" s="14"/>
      <c r="T450" s="14"/>
      <c r="U450" s="14"/>
      <c r="V450" s="14"/>
      <c r="W450" s="14"/>
      <c r="AA450" s="14"/>
    </row>
    <row r="451" ht="15.75" customHeight="1">
      <c r="F451" s="14"/>
      <c r="K451" s="14"/>
      <c r="L451" s="14"/>
      <c r="P451" s="14"/>
      <c r="T451" s="14"/>
      <c r="U451" s="14"/>
      <c r="V451" s="14"/>
      <c r="W451" s="14"/>
      <c r="AA451" s="14"/>
    </row>
    <row r="452" ht="15.75" customHeight="1">
      <c r="F452" s="14"/>
      <c r="K452" s="14"/>
      <c r="L452" s="14"/>
      <c r="P452" s="14"/>
      <c r="T452" s="14"/>
      <c r="U452" s="14"/>
      <c r="V452" s="14"/>
      <c r="W452" s="14"/>
      <c r="AA452" s="14"/>
    </row>
    <row r="453" ht="15.75" customHeight="1">
      <c r="F453" s="14"/>
      <c r="K453" s="14"/>
      <c r="L453" s="14"/>
      <c r="P453" s="14"/>
      <c r="T453" s="14"/>
      <c r="U453" s="14"/>
      <c r="V453" s="14"/>
      <c r="W453" s="14"/>
      <c r="AA453" s="14"/>
    </row>
    <row r="454" ht="15.75" customHeight="1">
      <c r="F454" s="14"/>
      <c r="K454" s="14"/>
      <c r="L454" s="14"/>
      <c r="P454" s="14"/>
      <c r="T454" s="14"/>
      <c r="U454" s="14"/>
      <c r="V454" s="14"/>
      <c r="W454" s="14"/>
      <c r="AA454" s="14"/>
    </row>
    <row r="455" ht="15.75" customHeight="1">
      <c r="F455" s="14"/>
      <c r="K455" s="14"/>
      <c r="L455" s="14"/>
      <c r="P455" s="14"/>
      <c r="T455" s="14"/>
      <c r="U455" s="14"/>
      <c r="V455" s="14"/>
      <c r="W455" s="14"/>
      <c r="AA455" s="14"/>
    </row>
    <row r="456" ht="15.75" customHeight="1">
      <c r="F456" s="14"/>
      <c r="K456" s="14"/>
      <c r="L456" s="14"/>
      <c r="P456" s="14"/>
      <c r="T456" s="14"/>
      <c r="U456" s="14"/>
      <c r="V456" s="14"/>
      <c r="W456" s="14"/>
      <c r="AA456" s="14"/>
    </row>
    <row r="457" ht="15.75" customHeight="1">
      <c r="F457" s="14"/>
      <c r="K457" s="14"/>
      <c r="L457" s="14"/>
      <c r="P457" s="14"/>
      <c r="T457" s="14"/>
      <c r="U457" s="14"/>
      <c r="V457" s="14"/>
      <c r="W457" s="14"/>
      <c r="AA457" s="14"/>
    </row>
    <row r="458" ht="15.75" customHeight="1">
      <c r="F458" s="14"/>
      <c r="K458" s="14"/>
      <c r="L458" s="14"/>
      <c r="P458" s="14"/>
      <c r="T458" s="14"/>
      <c r="U458" s="14"/>
      <c r="V458" s="14"/>
      <c r="W458" s="14"/>
      <c r="AA458" s="14"/>
    </row>
    <row r="459" ht="15.75" customHeight="1">
      <c r="F459" s="14"/>
      <c r="K459" s="14"/>
      <c r="L459" s="14"/>
      <c r="P459" s="14"/>
      <c r="T459" s="14"/>
      <c r="U459" s="14"/>
      <c r="V459" s="14"/>
      <c r="W459" s="14"/>
      <c r="AA459" s="14"/>
    </row>
    <row r="460" ht="15.75" customHeight="1">
      <c r="F460" s="14"/>
      <c r="K460" s="14"/>
      <c r="L460" s="14"/>
      <c r="P460" s="14"/>
      <c r="T460" s="14"/>
      <c r="U460" s="14"/>
      <c r="V460" s="14"/>
      <c r="W460" s="14"/>
      <c r="AA460" s="14"/>
    </row>
    <row r="461" ht="15.75" customHeight="1">
      <c r="F461" s="14"/>
      <c r="K461" s="14"/>
      <c r="L461" s="14"/>
      <c r="P461" s="14"/>
      <c r="T461" s="14"/>
      <c r="U461" s="14"/>
      <c r="V461" s="14"/>
      <c r="W461" s="14"/>
      <c r="AA461" s="14"/>
    </row>
    <row r="462" ht="15.75" customHeight="1">
      <c r="F462" s="14"/>
      <c r="K462" s="14"/>
      <c r="L462" s="14"/>
      <c r="P462" s="14"/>
      <c r="T462" s="14"/>
      <c r="U462" s="14"/>
      <c r="V462" s="14"/>
      <c r="W462" s="14"/>
      <c r="AA462" s="14"/>
    </row>
    <row r="463" ht="15.75" customHeight="1">
      <c r="F463" s="14"/>
      <c r="K463" s="14"/>
      <c r="L463" s="14"/>
      <c r="P463" s="14"/>
      <c r="T463" s="14"/>
      <c r="U463" s="14"/>
      <c r="V463" s="14"/>
      <c r="W463" s="14"/>
      <c r="AA463" s="14"/>
    </row>
    <row r="464" ht="15.75" customHeight="1">
      <c r="F464" s="14"/>
      <c r="K464" s="14"/>
      <c r="L464" s="14"/>
      <c r="P464" s="14"/>
      <c r="T464" s="14"/>
      <c r="U464" s="14"/>
      <c r="V464" s="14"/>
      <c r="W464" s="14"/>
      <c r="AA464" s="14"/>
    </row>
    <row r="465" ht="15.75" customHeight="1">
      <c r="F465" s="14"/>
      <c r="K465" s="14"/>
      <c r="L465" s="14"/>
      <c r="P465" s="14"/>
      <c r="T465" s="14"/>
      <c r="U465" s="14"/>
      <c r="V465" s="14"/>
      <c r="W465" s="14"/>
      <c r="AA465" s="14"/>
    </row>
    <row r="466" ht="15.75" customHeight="1">
      <c r="F466" s="14"/>
      <c r="K466" s="14"/>
      <c r="L466" s="14"/>
      <c r="P466" s="14"/>
      <c r="T466" s="14"/>
      <c r="U466" s="14"/>
      <c r="V466" s="14"/>
      <c r="W466" s="14"/>
      <c r="AA466" s="14"/>
    </row>
    <row r="467" ht="15.75" customHeight="1">
      <c r="F467" s="14"/>
      <c r="K467" s="14"/>
      <c r="L467" s="14"/>
      <c r="P467" s="14"/>
      <c r="T467" s="14"/>
      <c r="U467" s="14"/>
      <c r="V467" s="14"/>
      <c r="W467" s="14"/>
      <c r="AA467" s="14"/>
    </row>
    <row r="468" ht="15.75" customHeight="1">
      <c r="F468" s="14"/>
      <c r="K468" s="14"/>
      <c r="L468" s="14"/>
      <c r="P468" s="14"/>
      <c r="T468" s="14"/>
      <c r="U468" s="14"/>
      <c r="V468" s="14"/>
      <c r="W468" s="14"/>
      <c r="AA468" s="14"/>
    </row>
    <row r="469" ht="15.75" customHeight="1">
      <c r="F469" s="14"/>
      <c r="K469" s="14"/>
      <c r="L469" s="14"/>
      <c r="P469" s="14"/>
      <c r="T469" s="14"/>
      <c r="U469" s="14"/>
      <c r="V469" s="14"/>
      <c r="W469" s="14"/>
      <c r="AA469" s="14"/>
    </row>
    <row r="470" ht="15.75" customHeight="1">
      <c r="F470" s="14"/>
      <c r="K470" s="14"/>
      <c r="L470" s="14"/>
      <c r="P470" s="14"/>
      <c r="T470" s="14"/>
      <c r="U470" s="14"/>
      <c r="V470" s="14"/>
      <c r="W470" s="14"/>
      <c r="AA470" s="14"/>
    </row>
    <row r="471" ht="15.75" customHeight="1">
      <c r="F471" s="14"/>
      <c r="K471" s="14"/>
      <c r="L471" s="14"/>
      <c r="P471" s="14"/>
      <c r="T471" s="14"/>
      <c r="U471" s="14"/>
      <c r="V471" s="14"/>
      <c r="W471" s="14"/>
      <c r="AA471" s="14"/>
    </row>
    <row r="472" ht="15.75" customHeight="1">
      <c r="F472" s="14"/>
      <c r="K472" s="14"/>
      <c r="L472" s="14"/>
      <c r="P472" s="14"/>
      <c r="T472" s="14"/>
      <c r="U472" s="14"/>
      <c r="V472" s="14"/>
      <c r="W472" s="14"/>
      <c r="AA472" s="14"/>
    </row>
    <row r="473" ht="15.75" customHeight="1">
      <c r="F473" s="14"/>
      <c r="K473" s="14"/>
      <c r="L473" s="14"/>
      <c r="P473" s="14"/>
      <c r="T473" s="14"/>
      <c r="U473" s="14"/>
      <c r="V473" s="14"/>
      <c r="W473" s="14"/>
      <c r="AA473" s="14"/>
    </row>
    <row r="474" ht="15.75" customHeight="1">
      <c r="F474" s="14"/>
      <c r="K474" s="14"/>
      <c r="L474" s="14"/>
      <c r="P474" s="14"/>
      <c r="T474" s="14"/>
      <c r="U474" s="14"/>
      <c r="V474" s="14"/>
      <c r="W474" s="14"/>
      <c r="AA474" s="14"/>
    </row>
    <row r="475" ht="15.75" customHeight="1">
      <c r="F475" s="14"/>
      <c r="K475" s="14"/>
      <c r="L475" s="14"/>
      <c r="P475" s="14"/>
      <c r="T475" s="14"/>
      <c r="U475" s="14"/>
      <c r="V475" s="14"/>
      <c r="W475" s="14"/>
      <c r="AA475" s="14"/>
    </row>
    <row r="476" ht="15.75" customHeight="1">
      <c r="F476" s="14"/>
      <c r="K476" s="14"/>
      <c r="L476" s="14"/>
      <c r="P476" s="14"/>
      <c r="T476" s="14"/>
      <c r="U476" s="14"/>
      <c r="V476" s="14"/>
      <c r="W476" s="14"/>
      <c r="AA476" s="14"/>
    </row>
    <row r="477" ht="15.75" customHeight="1">
      <c r="F477" s="14"/>
      <c r="K477" s="14"/>
      <c r="L477" s="14"/>
      <c r="P477" s="14"/>
      <c r="T477" s="14"/>
      <c r="U477" s="14"/>
      <c r="V477" s="14"/>
      <c r="W477" s="14"/>
      <c r="AA477" s="14"/>
    </row>
    <row r="478" ht="15.75" customHeight="1">
      <c r="F478" s="14"/>
      <c r="K478" s="14"/>
      <c r="L478" s="14"/>
      <c r="P478" s="14"/>
      <c r="T478" s="14"/>
      <c r="U478" s="14"/>
      <c r="V478" s="14"/>
      <c r="W478" s="14"/>
      <c r="AA478" s="14"/>
    </row>
    <row r="479" ht="15.75" customHeight="1">
      <c r="F479" s="14"/>
      <c r="K479" s="14"/>
      <c r="L479" s="14"/>
      <c r="P479" s="14"/>
      <c r="T479" s="14"/>
      <c r="U479" s="14"/>
      <c r="V479" s="14"/>
      <c r="W479" s="14"/>
      <c r="AA479" s="14"/>
    </row>
    <row r="480" ht="15.75" customHeight="1">
      <c r="F480" s="14"/>
      <c r="K480" s="14"/>
      <c r="L480" s="14"/>
      <c r="P480" s="14"/>
      <c r="T480" s="14"/>
      <c r="U480" s="14"/>
      <c r="V480" s="14"/>
      <c r="W480" s="14"/>
      <c r="AA480" s="14"/>
    </row>
    <row r="481" ht="15.75" customHeight="1">
      <c r="F481" s="14"/>
      <c r="K481" s="14"/>
      <c r="L481" s="14"/>
      <c r="P481" s="14"/>
      <c r="T481" s="14"/>
      <c r="U481" s="14"/>
      <c r="V481" s="14"/>
      <c r="W481" s="14"/>
      <c r="AA481" s="14"/>
    </row>
    <row r="482" ht="15.75" customHeight="1">
      <c r="F482" s="14"/>
      <c r="K482" s="14"/>
      <c r="L482" s="14"/>
      <c r="P482" s="14"/>
      <c r="T482" s="14"/>
      <c r="U482" s="14"/>
      <c r="V482" s="14"/>
      <c r="W482" s="14"/>
      <c r="AA482" s="14"/>
    </row>
    <row r="483" ht="15.75" customHeight="1">
      <c r="F483" s="14"/>
      <c r="K483" s="14"/>
      <c r="L483" s="14"/>
      <c r="P483" s="14"/>
      <c r="T483" s="14"/>
      <c r="U483" s="14"/>
      <c r="V483" s="14"/>
      <c r="W483" s="14"/>
      <c r="AA483" s="14"/>
    </row>
    <row r="484" ht="15.75" customHeight="1">
      <c r="F484" s="14"/>
      <c r="K484" s="14"/>
      <c r="L484" s="14"/>
      <c r="P484" s="14"/>
      <c r="T484" s="14"/>
      <c r="U484" s="14"/>
      <c r="V484" s="14"/>
      <c r="W484" s="14"/>
      <c r="AA484" s="14"/>
    </row>
    <row r="485" ht="15.75" customHeight="1">
      <c r="F485" s="14"/>
      <c r="K485" s="14"/>
      <c r="L485" s="14"/>
      <c r="P485" s="14"/>
      <c r="T485" s="14"/>
      <c r="U485" s="14"/>
      <c r="V485" s="14"/>
      <c r="W485" s="14"/>
      <c r="AA485" s="14"/>
    </row>
    <row r="486" ht="15.75" customHeight="1">
      <c r="F486" s="14"/>
      <c r="K486" s="14"/>
      <c r="L486" s="14"/>
      <c r="P486" s="14"/>
      <c r="T486" s="14"/>
      <c r="U486" s="14"/>
      <c r="V486" s="14"/>
      <c r="W486" s="14"/>
      <c r="AA486" s="14"/>
    </row>
    <row r="487" ht="15.75" customHeight="1">
      <c r="F487" s="14"/>
      <c r="K487" s="14"/>
      <c r="L487" s="14"/>
      <c r="P487" s="14"/>
      <c r="T487" s="14"/>
      <c r="U487" s="14"/>
      <c r="V487" s="14"/>
      <c r="W487" s="14"/>
      <c r="AA487" s="14"/>
    </row>
    <row r="488" ht="15.75" customHeight="1">
      <c r="F488" s="14"/>
      <c r="K488" s="14"/>
      <c r="L488" s="14"/>
      <c r="P488" s="14"/>
      <c r="T488" s="14"/>
      <c r="U488" s="14"/>
      <c r="V488" s="14"/>
      <c r="W488" s="14"/>
      <c r="AA488" s="14"/>
    </row>
    <row r="489" ht="15.75" customHeight="1">
      <c r="F489" s="14"/>
      <c r="K489" s="14"/>
      <c r="L489" s="14"/>
      <c r="P489" s="14"/>
      <c r="T489" s="14"/>
      <c r="U489" s="14"/>
      <c r="V489" s="14"/>
      <c r="W489" s="14"/>
      <c r="AA489" s="14"/>
    </row>
    <row r="490" ht="15.75" customHeight="1">
      <c r="F490" s="14"/>
      <c r="K490" s="14"/>
      <c r="L490" s="14"/>
      <c r="P490" s="14"/>
      <c r="T490" s="14"/>
      <c r="U490" s="14"/>
      <c r="V490" s="14"/>
      <c r="W490" s="14"/>
      <c r="AA490" s="14"/>
    </row>
    <row r="491" ht="15.75" customHeight="1">
      <c r="F491" s="14"/>
      <c r="K491" s="14"/>
      <c r="L491" s="14"/>
      <c r="P491" s="14"/>
      <c r="T491" s="14"/>
      <c r="U491" s="14"/>
      <c r="V491" s="14"/>
      <c r="W491" s="14"/>
      <c r="AA491" s="14"/>
    </row>
    <row r="492" ht="15.75" customHeight="1">
      <c r="F492" s="14"/>
      <c r="K492" s="14"/>
      <c r="L492" s="14"/>
      <c r="P492" s="14"/>
      <c r="T492" s="14"/>
      <c r="U492" s="14"/>
      <c r="V492" s="14"/>
      <c r="W492" s="14"/>
      <c r="AA492" s="14"/>
    </row>
    <row r="493" ht="15.75" customHeight="1">
      <c r="F493" s="14"/>
      <c r="K493" s="14"/>
      <c r="L493" s="14"/>
      <c r="P493" s="14"/>
      <c r="T493" s="14"/>
      <c r="U493" s="14"/>
      <c r="V493" s="14"/>
      <c r="W493" s="14"/>
      <c r="AA493" s="14"/>
    </row>
    <row r="494" ht="15.75" customHeight="1">
      <c r="F494" s="14"/>
      <c r="K494" s="14"/>
      <c r="L494" s="14"/>
      <c r="P494" s="14"/>
      <c r="T494" s="14"/>
      <c r="U494" s="14"/>
      <c r="V494" s="14"/>
      <c r="W494" s="14"/>
      <c r="AA494" s="14"/>
    </row>
    <row r="495" ht="15.75" customHeight="1">
      <c r="F495" s="14"/>
      <c r="K495" s="14"/>
      <c r="L495" s="14"/>
      <c r="P495" s="14"/>
      <c r="T495" s="14"/>
      <c r="U495" s="14"/>
      <c r="V495" s="14"/>
      <c r="W495" s="14"/>
      <c r="AA495" s="14"/>
    </row>
    <row r="496" ht="15.75" customHeight="1">
      <c r="F496" s="14"/>
      <c r="K496" s="14"/>
      <c r="L496" s="14"/>
      <c r="P496" s="14"/>
      <c r="T496" s="14"/>
      <c r="U496" s="14"/>
      <c r="V496" s="14"/>
      <c r="W496" s="14"/>
      <c r="AA496" s="14"/>
    </row>
    <row r="497" ht="15.75" customHeight="1">
      <c r="F497" s="14"/>
      <c r="K497" s="14"/>
      <c r="L497" s="14"/>
      <c r="P497" s="14"/>
      <c r="T497" s="14"/>
      <c r="U497" s="14"/>
      <c r="V497" s="14"/>
      <c r="W497" s="14"/>
      <c r="AA497" s="14"/>
    </row>
    <row r="498" ht="15.75" customHeight="1">
      <c r="F498" s="14"/>
      <c r="K498" s="14"/>
      <c r="L498" s="14"/>
      <c r="P498" s="14"/>
      <c r="T498" s="14"/>
      <c r="U498" s="14"/>
      <c r="V498" s="14"/>
      <c r="W498" s="14"/>
      <c r="AA498" s="14"/>
    </row>
    <row r="499" ht="15.75" customHeight="1">
      <c r="F499" s="14"/>
      <c r="K499" s="14"/>
      <c r="L499" s="14"/>
      <c r="P499" s="14"/>
      <c r="T499" s="14"/>
      <c r="U499" s="14"/>
      <c r="V499" s="14"/>
      <c r="W499" s="14"/>
      <c r="AA499" s="14"/>
    </row>
    <row r="500" ht="15.75" customHeight="1">
      <c r="F500" s="14"/>
      <c r="K500" s="14"/>
      <c r="L500" s="14"/>
      <c r="P500" s="14"/>
      <c r="T500" s="14"/>
      <c r="U500" s="14"/>
      <c r="V500" s="14"/>
      <c r="W500" s="14"/>
      <c r="AA500" s="14"/>
    </row>
    <row r="501" ht="15.75" customHeight="1">
      <c r="F501" s="14"/>
      <c r="K501" s="14"/>
      <c r="L501" s="14"/>
      <c r="P501" s="14"/>
      <c r="T501" s="14"/>
      <c r="U501" s="14"/>
      <c r="V501" s="14"/>
      <c r="W501" s="14"/>
      <c r="AA501" s="14"/>
    </row>
    <row r="502" ht="15.75" customHeight="1">
      <c r="F502" s="14"/>
      <c r="K502" s="14"/>
      <c r="L502" s="14"/>
      <c r="P502" s="14"/>
      <c r="T502" s="14"/>
      <c r="U502" s="14"/>
      <c r="V502" s="14"/>
      <c r="W502" s="14"/>
      <c r="AA502" s="14"/>
    </row>
    <row r="503" ht="15.75" customHeight="1">
      <c r="F503" s="14"/>
      <c r="K503" s="14"/>
      <c r="L503" s="14"/>
      <c r="P503" s="14"/>
      <c r="T503" s="14"/>
      <c r="U503" s="14"/>
      <c r="V503" s="14"/>
      <c r="W503" s="14"/>
      <c r="AA503" s="14"/>
    </row>
    <row r="504" ht="15.75" customHeight="1">
      <c r="F504" s="14"/>
      <c r="K504" s="14"/>
      <c r="L504" s="14"/>
      <c r="P504" s="14"/>
      <c r="T504" s="14"/>
      <c r="U504" s="14"/>
      <c r="V504" s="14"/>
      <c r="W504" s="14"/>
      <c r="AA504" s="14"/>
    </row>
    <row r="505" ht="15.75" customHeight="1">
      <c r="F505" s="14"/>
      <c r="K505" s="14"/>
      <c r="L505" s="14"/>
      <c r="P505" s="14"/>
      <c r="T505" s="14"/>
      <c r="U505" s="14"/>
      <c r="V505" s="14"/>
      <c r="W505" s="14"/>
      <c r="AA505" s="14"/>
    </row>
    <row r="506" ht="15.75" customHeight="1">
      <c r="F506" s="14"/>
      <c r="K506" s="14"/>
      <c r="L506" s="14"/>
      <c r="P506" s="14"/>
      <c r="T506" s="14"/>
      <c r="U506" s="14"/>
      <c r="V506" s="14"/>
      <c r="W506" s="14"/>
      <c r="AA506" s="14"/>
    </row>
    <row r="507" ht="15.75" customHeight="1">
      <c r="F507" s="14"/>
      <c r="K507" s="14"/>
      <c r="L507" s="14"/>
      <c r="P507" s="14"/>
      <c r="T507" s="14"/>
      <c r="U507" s="14"/>
      <c r="V507" s="14"/>
      <c r="W507" s="14"/>
      <c r="AA507" s="14"/>
    </row>
    <row r="508" ht="15.75" customHeight="1">
      <c r="F508" s="14"/>
      <c r="K508" s="14"/>
      <c r="L508" s="14"/>
      <c r="P508" s="14"/>
      <c r="T508" s="14"/>
      <c r="U508" s="14"/>
      <c r="V508" s="14"/>
      <c r="W508" s="14"/>
      <c r="AA508" s="14"/>
    </row>
    <row r="509" ht="15.75" customHeight="1">
      <c r="F509" s="14"/>
      <c r="K509" s="14"/>
      <c r="L509" s="14"/>
      <c r="P509" s="14"/>
      <c r="T509" s="14"/>
      <c r="U509" s="14"/>
      <c r="V509" s="14"/>
      <c r="W509" s="14"/>
      <c r="AA509" s="14"/>
    </row>
    <row r="510" ht="15.75" customHeight="1">
      <c r="F510" s="14"/>
      <c r="K510" s="14"/>
      <c r="L510" s="14"/>
      <c r="P510" s="14"/>
      <c r="T510" s="14"/>
      <c r="U510" s="14"/>
      <c r="V510" s="14"/>
      <c r="W510" s="14"/>
      <c r="AA510" s="14"/>
    </row>
    <row r="511" ht="15.75" customHeight="1">
      <c r="F511" s="14"/>
      <c r="K511" s="14"/>
      <c r="L511" s="14"/>
      <c r="P511" s="14"/>
      <c r="T511" s="14"/>
      <c r="U511" s="14"/>
      <c r="V511" s="14"/>
      <c r="W511" s="14"/>
      <c r="AA511" s="14"/>
    </row>
    <row r="512" ht="15.75" customHeight="1">
      <c r="F512" s="14"/>
      <c r="K512" s="14"/>
      <c r="L512" s="14"/>
      <c r="P512" s="14"/>
      <c r="T512" s="14"/>
      <c r="U512" s="14"/>
      <c r="V512" s="14"/>
      <c r="W512" s="14"/>
      <c r="AA512" s="14"/>
    </row>
    <row r="513" ht="15.75" customHeight="1">
      <c r="F513" s="14"/>
      <c r="K513" s="14"/>
      <c r="L513" s="14"/>
      <c r="P513" s="14"/>
      <c r="T513" s="14"/>
      <c r="U513" s="14"/>
      <c r="V513" s="14"/>
      <c r="W513" s="14"/>
      <c r="AA513" s="14"/>
    </row>
    <row r="514" ht="15.75" customHeight="1">
      <c r="F514" s="14"/>
      <c r="K514" s="14"/>
      <c r="L514" s="14"/>
      <c r="P514" s="14"/>
      <c r="T514" s="14"/>
      <c r="U514" s="14"/>
      <c r="V514" s="14"/>
      <c r="W514" s="14"/>
      <c r="AA514" s="14"/>
    </row>
    <row r="515" ht="15.75" customHeight="1">
      <c r="F515" s="14"/>
      <c r="K515" s="14"/>
      <c r="L515" s="14"/>
      <c r="P515" s="14"/>
      <c r="T515" s="14"/>
      <c r="U515" s="14"/>
      <c r="V515" s="14"/>
      <c r="W515" s="14"/>
      <c r="AA515" s="14"/>
    </row>
    <row r="516" ht="15.75" customHeight="1">
      <c r="F516" s="14"/>
      <c r="K516" s="14"/>
      <c r="L516" s="14"/>
      <c r="P516" s="14"/>
      <c r="T516" s="14"/>
      <c r="U516" s="14"/>
      <c r="V516" s="14"/>
      <c r="W516" s="14"/>
      <c r="AA516" s="14"/>
    </row>
    <row r="517" ht="15.75" customHeight="1">
      <c r="F517" s="14"/>
      <c r="K517" s="14"/>
      <c r="L517" s="14"/>
      <c r="P517" s="14"/>
      <c r="T517" s="14"/>
      <c r="U517" s="14"/>
      <c r="V517" s="14"/>
      <c r="W517" s="14"/>
      <c r="AA517" s="14"/>
    </row>
    <row r="518" ht="15.75" customHeight="1">
      <c r="F518" s="14"/>
      <c r="K518" s="14"/>
      <c r="L518" s="14"/>
      <c r="P518" s="14"/>
      <c r="T518" s="14"/>
      <c r="U518" s="14"/>
      <c r="V518" s="14"/>
      <c r="W518" s="14"/>
      <c r="AA518" s="14"/>
    </row>
    <row r="519" ht="15.75" customHeight="1">
      <c r="F519" s="14"/>
      <c r="K519" s="14"/>
      <c r="L519" s="14"/>
      <c r="P519" s="14"/>
      <c r="T519" s="14"/>
      <c r="U519" s="14"/>
      <c r="V519" s="14"/>
      <c r="W519" s="14"/>
      <c r="AA519" s="14"/>
    </row>
    <row r="520" ht="15.75" customHeight="1">
      <c r="F520" s="14"/>
      <c r="K520" s="14"/>
      <c r="L520" s="14"/>
      <c r="P520" s="14"/>
      <c r="T520" s="14"/>
      <c r="U520" s="14"/>
      <c r="V520" s="14"/>
      <c r="W520" s="14"/>
      <c r="AA520" s="14"/>
    </row>
    <row r="521" ht="15.75" customHeight="1">
      <c r="F521" s="14"/>
      <c r="K521" s="14"/>
      <c r="L521" s="14"/>
      <c r="P521" s="14"/>
      <c r="T521" s="14"/>
      <c r="U521" s="14"/>
      <c r="V521" s="14"/>
      <c r="W521" s="14"/>
      <c r="AA521" s="14"/>
    </row>
    <row r="522" ht="15.75" customHeight="1">
      <c r="F522" s="14"/>
      <c r="K522" s="14"/>
      <c r="L522" s="14"/>
      <c r="P522" s="14"/>
      <c r="T522" s="14"/>
      <c r="U522" s="14"/>
      <c r="V522" s="14"/>
      <c r="W522" s="14"/>
      <c r="AA522" s="14"/>
    </row>
    <row r="523" ht="15.75" customHeight="1">
      <c r="F523" s="14"/>
      <c r="K523" s="14"/>
      <c r="L523" s="14"/>
      <c r="P523" s="14"/>
      <c r="T523" s="14"/>
      <c r="U523" s="14"/>
      <c r="V523" s="14"/>
      <c r="W523" s="14"/>
      <c r="AA523" s="14"/>
    </row>
    <row r="524" ht="15.75" customHeight="1">
      <c r="F524" s="14"/>
      <c r="K524" s="14"/>
      <c r="L524" s="14"/>
      <c r="P524" s="14"/>
      <c r="T524" s="14"/>
      <c r="U524" s="14"/>
      <c r="V524" s="14"/>
      <c r="W524" s="14"/>
      <c r="AA524" s="14"/>
    </row>
    <row r="525" ht="15.75" customHeight="1">
      <c r="F525" s="14"/>
      <c r="K525" s="14"/>
      <c r="L525" s="14"/>
      <c r="P525" s="14"/>
      <c r="T525" s="14"/>
      <c r="U525" s="14"/>
      <c r="V525" s="14"/>
      <c r="W525" s="14"/>
      <c r="AA525" s="14"/>
    </row>
    <row r="526" ht="15.75" customHeight="1">
      <c r="F526" s="14"/>
      <c r="K526" s="14"/>
      <c r="L526" s="14"/>
      <c r="P526" s="14"/>
      <c r="T526" s="14"/>
      <c r="U526" s="14"/>
      <c r="V526" s="14"/>
      <c r="W526" s="14"/>
      <c r="AA526" s="14"/>
    </row>
    <row r="527" ht="15.75" customHeight="1">
      <c r="F527" s="14"/>
      <c r="K527" s="14"/>
      <c r="L527" s="14"/>
      <c r="P527" s="14"/>
      <c r="T527" s="14"/>
      <c r="U527" s="14"/>
      <c r="V527" s="14"/>
      <c r="W527" s="14"/>
      <c r="AA527" s="14"/>
    </row>
    <row r="528" ht="15.75" customHeight="1">
      <c r="F528" s="14"/>
      <c r="K528" s="14"/>
      <c r="L528" s="14"/>
      <c r="P528" s="14"/>
      <c r="T528" s="14"/>
      <c r="U528" s="14"/>
      <c r="V528" s="14"/>
      <c r="W528" s="14"/>
      <c r="AA528" s="14"/>
    </row>
    <row r="529" ht="15.75" customHeight="1">
      <c r="F529" s="14"/>
      <c r="K529" s="14"/>
      <c r="L529" s="14"/>
      <c r="P529" s="14"/>
      <c r="T529" s="14"/>
      <c r="U529" s="14"/>
      <c r="V529" s="14"/>
      <c r="W529" s="14"/>
      <c r="AA529" s="14"/>
    </row>
    <row r="530" ht="15.75" customHeight="1">
      <c r="F530" s="14"/>
      <c r="K530" s="14"/>
      <c r="L530" s="14"/>
      <c r="P530" s="14"/>
      <c r="T530" s="14"/>
      <c r="U530" s="14"/>
      <c r="V530" s="14"/>
      <c r="W530" s="14"/>
      <c r="AA530" s="14"/>
    </row>
    <row r="531" ht="15.75" customHeight="1">
      <c r="F531" s="14"/>
      <c r="K531" s="14"/>
      <c r="L531" s="14"/>
      <c r="P531" s="14"/>
      <c r="T531" s="14"/>
      <c r="U531" s="14"/>
      <c r="V531" s="14"/>
      <c r="W531" s="14"/>
      <c r="AA531" s="14"/>
    </row>
    <row r="532" ht="15.75" customHeight="1">
      <c r="F532" s="14"/>
      <c r="K532" s="14"/>
      <c r="L532" s="14"/>
      <c r="P532" s="14"/>
      <c r="T532" s="14"/>
      <c r="U532" s="14"/>
      <c r="V532" s="14"/>
      <c r="W532" s="14"/>
      <c r="AA532" s="14"/>
    </row>
    <row r="533" ht="15.75" customHeight="1">
      <c r="F533" s="14"/>
      <c r="K533" s="14"/>
      <c r="L533" s="14"/>
      <c r="P533" s="14"/>
      <c r="T533" s="14"/>
      <c r="U533" s="14"/>
      <c r="V533" s="14"/>
      <c r="W533" s="14"/>
      <c r="AA533" s="14"/>
    </row>
    <row r="534" ht="15.75" customHeight="1">
      <c r="F534" s="14"/>
      <c r="K534" s="14"/>
      <c r="L534" s="14"/>
      <c r="P534" s="14"/>
      <c r="T534" s="14"/>
      <c r="U534" s="14"/>
      <c r="V534" s="14"/>
      <c r="W534" s="14"/>
      <c r="AA534" s="14"/>
    </row>
    <row r="535" ht="15.75" customHeight="1">
      <c r="F535" s="14"/>
      <c r="K535" s="14"/>
      <c r="L535" s="14"/>
      <c r="P535" s="14"/>
      <c r="T535" s="14"/>
      <c r="U535" s="14"/>
      <c r="V535" s="14"/>
      <c r="W535" s="14"/>
      <c r="AA535" s="14"/>
    </row>
    <row r="536" ht="15.75" customHeight="1">
      <c r="F536" s="14"/>
      <c r="K536" s="14"/>
      <c r="L536" s="14"/>
      <c r="P536" s="14"/>
      <c r="T536" s="14"/>
      <c r="U536" s="14"/>
      <c r="V536" s="14"/>
      <c r="W536" s="14"/>
      <c r="AA536" s="14"/>
    </row>
    <row r="537" ht="15.75" customHeight="1">
      <c r="F537" s="14"/>
      <c r="K537" s="14"/>
      <c r="L537" s="14"/>
      <c r="P537" s="14"/>
      <c r="T537" s="14"/>
      <c r="U537" s="14"/>
      <c r="V537" s="14"/>
      <c r="W537" s="14"/>
      <c r="AA537" s="14"/>
    </row>
    <row r="538" ht="15.75" customHeight="1">
      <c r="F538" s="14"/>
      <c r="K538" s="14"/>
      <c r="L538" s="14"/>
      <c r="P538" s="14"/>
      <c r="T538" s="14"/>
      <c r="U538" s="14"/>
      <c r="V538" s="14"/>
      <c r="W538" s="14"/>
      <c r="AA538" s="14"/>
    </row>
    <row r="539" ht="15.75" customHeight="1">
      <c r="F539" s="14"/>
      <c r="K539" s="14"/>
      <c r="L539" s="14"/>
      <c r="P539" s="14"/>
      <c r="T539" s="14"/>
      <c r="U539" s="14"/>
      <c r="V539" s="14"/>
      <c r="W539" s="14"/>
      <c r="AA539" s="14"/>
    </row>
    <row r="540" ht="15.75" customHeight="1">
      <c r="F540" s="14"/>
      <c r="K540" s="14"/>
      <c r="L540" s="14"/>
      <c r="P540" s="14"/>
      <c r="T540" s="14"/>
      <c r="U540" s="14"/>
      <c r="V540" s="14"/>
      <c r="W540" s="14"/>
      <c r="AA540" s="14"/>
    </row>
    <row r="541" ht="15.75" customHeight="1">
      <c r="F541" s="14"/>
      <c r="K541" s="14"/>
      <c r="L541" s="14"/>
      <c r="P541" s="14"/>
      <c r="T541" s="14"/>
      <c r="U541" s="14"/>
      <c r="V541" s="14"/>
      <c r="W541" s="14"/>
      <c r="AA541" s="14"/>
    </row>
    <row r="542" ht="15.75" customHeight="1">
      <c r="F542" s="14"/>
      <c r="K542" s="14"/>
      <c r="L542" s="14"/>
      <c r="P542" s="14"/>
      <c r="T542" s="14"/>
      <c r="U542" s="14"/>
      <c r="V542" s="14"/>
      <c r="W542" s="14"/>
      <c r="AA542" s="14"/>
    </row>
    <row r="543" ht="15.75" customHeight="1">
      <c r="F543" s="14"/>
      <c r="K543" s="14"/>
      <c r="L543" s="14"/>
      <c r="P543" s="14"/>
      <c r="T543" s="14"/>
      <c r="U543" s="14"/>
      <c r="V543" s="14"/>
      <c r="W543" s="14"/>
      <c r="AA543" s="14"/>
    </row>
    <row r="544" ht="15.75" customHeight="1">
      <c r="F544" s="14"/>
      <c r="K544" s="14"/>
      <c r="L544" s="14"/>
      <c r="P544" s="14"/>
      <c r="T544" s="14"/>
      <c r="U544" s="14"/>
      <c r="V544" s="14"/>
      <c r="W544" s="14"/>
      <c r="AA544" s="14"/>
    </row>
    <row r="545" ht="15.75" customHeight="1">
      <c r="F545" s="14"/>
      <c r="K545" s="14"/>
      <c r="L545" s="14"/>
      <c r="P545" s="14"/>
      <c r="T545" s="14"/>
      <c r="U545" s="14"/>
      <c r="V545" s="14"/>
      <c r="W545" s="14"/>
      <c r="AA545" s="14"/>
    </row>
    <row r="546" ht="15.75" customHeight="1">
      <c r="F546" s="14"/>
      <c r="K546" s="14"/>
      <c r="L546" s="14"/>
      <c r="P546" s="14"/>
      <c r="T546" s="14"/>
      <c r="U546" s="14"/>
      <c r="V546" s="14"/>
      <c r="W546" s="14"/>
      <c r="AA546" s="14"/>
    </row>
    <row r="547" ht="15.75" customHeight="1">
      <c r="F547" s="14"/>
      <c r="K547" s="14"/>
      <c r="L547" s="14"/>
      <c r="P547" s="14"/>
      <c r="T547" s="14"/>
      <c r="U547" s="14"/>
      <c r="V547" s="14"/>
      <c r="W547" s="14"/>
      <c r="AA547" s="14"/>
    </row>
    <row r="548" ht="15.75" customHeight="1">
      <c r="F548" s="14"/>
      <c r="K548" s="14"/>
      <c r="L548" s="14"/>
      <c r="P548" s="14"/>
      <c r="T548" s="14"/>
      <c r="U548" s="14"/>
      <c r="V548" s="14"/>
      <c r="W548" s="14"/>
      <c r="AA548" s="14"/>
    </row>
    <row r="549" ht="15.75" customHeight="1">
      <c r="F549" s="14"/>
      <c r="K549" s="14"/>
      <c r="L549" s="14"/>
      <c r="P549" s="14"/>
      <c r="T549" s="14"/>
      <c r="U549" s="14"/>
      <c r="V549" s="14"/>
      <c r="W549" s="14"/>
      <c r="AA549" s="14"/>
    </row>
    <row r="550" ht="15.75" customHeight="1">
      <c r="F550" s="14"/>
      <c r="K550" s="14"/>
      <c r="L550" s="14"/>
      <c r="P550" s="14"/>
      <c r="T550" s="14"/>
      <c r="U550" s="14"/>
      <c r="V550" s="14"/>
      <c r="W550" s="14"/>
      <c r="AA550" s="14"/>
    </row>
    <row r="551" ht="15.75" customHeight="1">
      <c r="F551" s="14"/>
      <c r="K551" s="14"/>
      <c r="L551" s="14"/>
      <c r="P551" s="14"/>
      <c r="T551" s="14"/>
      <c r="U551" s="14"/>
      <c r="V551" s="14"/>
      <c r="W551" s="14"/>
      <c r="AA551" s="14"/>
    </row>
    <row r="552" ht="15.75" customHeight="1">
      <c r="F552" s="14"/>
      <c r="K552" s="14"/>
      <c r="L552" s="14"/>
      <c r="P552" s="14"/>
      <c r="T552" s="14"/>
      <c r="U552" s="14"/>
      <c r="V552" s="14"/>
      <c r="W552" s="14"/>
      <c r="AA552" s="14"/>
    </row>
    <row r="553" ht="15.75" customHeight="1">
      <c r="F553" s="14"/>
      <c r="K553" s="14"/>
      <c r="L553" s="14"/>
      <c r="P553" s="14"/>
      <c r="T553" s="14"/>
      <c r="U553" s="14"/>
      <c r="V553" s="14"/>
      <c r="W553" s="14"/>
      <c r="AA553" s="14"/>
    </row>
    <row r="554" ht="15.75" customHeight="1">
      <c r="F554" s="14"/>
      <c r="K554" s="14"/>
      <c r="L554" s="14"/>
      <c r="P554" s="14"/>
      <c r="T554" s="14"/>
      <c r="U554" s="14"/>
      <c r="V554" s="14"/>
      <c r="W554" s="14"/>
      <c r="AA554" s="14"/>
    </row>
    <row r="555" ht="15.75" customHeight="1">
      <c r="F555" s="14"/>
      <c r="K555" s="14"/>
      <c r="L555" s="14"/>
      <c r="P555" s="14"/>
      <c r="T555" s="14"/>
      <c r="U555" s="14"/>
      <c r="V555" s="14"/>
      <c r="W555" s="14"/>
      <c r="AA555" s="14"/>
    </row>
    <row r="556" ht="15.75" customHeight="1">
      <c r="F556" s="14"/>
      <c r="K556" s="14"/>
      <c r="L556" s="14"/>
      <c r="P556" s="14"/>
      <c r="T556" s="14"/>
      <c r="U556" s="14"/>
      <c r="V556" s="14"/>
      <c r="W556" s="14"/>
      <c r="AA556" s="14"/>
    </row>
    <row r="557" ht="15.75" customHeight="1">
      <c r="F557" s="14"/>
      <c r="K557" s="14"/>
      <c r="L557" s="14"/>
      <c r="P557" s="14"/>
      <c r="T557" s="14"/>
      <c r="U557" s="14"/>
      <c r="V557" s="14"/>
      <c r="W557" s="14"/>
      <c r="AA557" s="14"/>
    </row>
    <row r="558" ht="15.75" customHeight="1">
      <c r="F558" s="14"/>
      <c r="K558" s="14"/>
      <c r="L558" s="14"/>
      <c r="P558" s="14"/>
      <c r="T558" s="14"/>
      <c r="U558" s="14"/>
      <c r="V558" s="14"/>
      <c r="W558" s="14"/>
      <c r="AA558" s="14"/>
    </row>
    <row r="559" ht="15.75" customHeight="1">
      <c r="F559" s="14"/>
      <c r="K559" s="14"/>
      <c r="L559" s="14"/>
      <c r="P559" s="14"/>
      <c r="T559" s="14"/>
      <c r="U559" s="14"/>
      <c r="V559" s="14"/>
      <c r="W559" s="14"/>
      <c r="AA559" s="14"/>
    </row>
    <row r="560" ht="15.75" customHeight="1">
      <c r="F560" s="14"/>
      <c r="K560" s="14"/>
      <c r="L560" s="14"/>
      <c r="P560" s="14"/>
      <c r="T560" s="14"/>
      <c r="U560" s="14"/>
      <c r="V560" s="14"/>
      <c r="W560" s="14"/>
      <c r="AA560" s="14"/>
    </row>
    <row r="561" ht="15.75" customHeight="1">
      <c r="F561" s="14"/>
      <c r="K561" s="14"/>
      <c r="L561" s="14"/>
      <c r="P561" s="14"/>
      <c r="T561" s="14"/>
      <c r="U561" s="14"/>
      <c r="V561" s="14"/>
      <c r="W561" s="14"/>
      <c r="AA561" s="14"/>
    </row>
    <row r="562" ht="15.75" customHeight="1">
      <c r="F562" s="14"/>
      <c r="K562" s="14"/>
      <c r="L562" s="14"/>
      <c r="P562" s="14"/>
      <c r="T562" s="14"/>
      <c r="U562" s="14"/>
      <c r="V562" s="14"/>
      <c r="W562" s="14"/>
      <c r="AA562" s="14"/>
    </row>
    <row r="563" ht="15.75" customHeight="1">
      <c r="F563" s="14"/>
      <c r="K563" s="14"/>
      <c r="L563" s="14"/>
      <c r="P563" s="14"/>
      <c r="T563" s="14"/>
      <c r="U563" s="14"/>
      <c r="V563" s="14"/>
      <c r="W563" s="14"/>
      <c r="AA563" s="14"/>
    </row>
    <row r="564" ht="15.75" customHeight="1">
      <c r="F564" s="14"/>
      <c r="K564" s="14"/>
      <c r="L564" s="14"/>
      <c r="P564" s="14"/>
      <c r="T564" s="14"/>
      <c r="U564" s="14"/>
      <c r="V564" s="14"/>
      <c r="W564" s="14"/>
      <c r="AA564" s="14"/>
    </row>
    <row r="565" ht="15.75" customHeight="1">
      <c r="F565" s="14"/>
      <c r="K565" s="14"/>
      <c r="L565" s="14"/>
      <c r="P565" s="14"/>
      <c r="T565" s="14"/>
      <c r="U565" s="14"/>
      <c r="V565" s="14"/>
      <c r="W565" s="14"/>
      <c r="AA565" s="14"/>
    </row>
    <row r="566" ht="15.75" customHeight="1">
      <c r="F566" s="14"/>
      <c r="K566" s="14"/>
      <c r="L566" s="14"/>
      <c r="P566" s="14"/>
      <c r="T566" s="14"/>
      <c r="U566" s="14"/>
      <c r="V566" s="14"/>
      <c r="W566" s="14"/>
      <c r="AA566" s="14"/>
    </row>
    <row r="567" ht="15.75" customHeight="1">
      <c r="F567" s="14"/>
      <c r="K567" s="14"/>
      <c r="L567" s="14"/>
      <c r="P567" s="14"/>
      <c r="T567" s="14"/>
      <c r="U567" s="14"/>
      <c r="V567" s="14"/>
      <c r="W567" s="14"/>
      <c r="AA567" s="14"/>
    </row>
    <row r="568" ht="15.75" customHeight="1">
      <c r="F568" s="14"/>
      <c r="K568" s="14"/>
      <c r="L568" s="14"/>
      <c r="P568" s="14"/>
      <c r="T568" s="14"/>
      <c r="U568" s="14"/>
      <c r="V568" s="14"/>
      <c r="W568" s="14"/>
      <c r="AA568" s="14"/>
    </row>
    <row r="569" ht="15.75" customHeight="1">
      <c r="F569" s="14"/>
      <c r="K569" s="14"/>
      <c r="L569" s="14"/>
      <c r="P569" s="14"/>
      <c r="T569" s="14"/>
      <c r="U569" s="14"/>
      <c r="V569" s="14"/>
      <c r="W569" s="14"/>
      <c r="AA569" s="14"/>
    </row>
    <row r="570" ht="15.75" customHeight="1">
      <c r="F570" s="14"/>
      <c r="K570" s="14"/>
      <c r="L570" s="14"/>
      <c r="P570" s="14"/>
      <c r="T570" s="14"/>
      <c r="U570" s="14"/>
      <c r="V570" s="14"/>
      <c r="W570" s="14"/>
      <c r="AA570" s="14"/>
    </row>
    <row r="571" ht="15.75" customHeight="1">
      <c r="F571" s="14"/>
      <c r="K571" s="14"/>
      <c r="L571" s="14"/>
      <c r="P571" s="14"/>
      <c r="T571" s="14"/>
      <c r="U571" s="14"/>
      <c r="V571" s="14"/>
      <c r="W571" s="14"/>
      <c r="AA571" s="14"/>
    </row>
    <row r="572" ht="15.75" customHeight="1">
      <c r="F572" s="14"/>
      <c r="K572" s="14"/>
      <c r="L572" s="14"/>
      <c r="P572" s="14"/>
      <c r="T572" s="14"/>
      <c r="U572" s="14"/>
      <c r="V572" s="14"/>
      <c r="W572" s="14"/>
      <c r="AA572" s="14"/>
    </row>
    <row r="573" ht="15.75" customHeight="1">
      <c r="F573" s="14"/>
      <c r="K573" s="14"/>
      <c r="L573" s="14"/>
      <c r="P573" s="14"/>
      <c r="T573" s="14"/>
      <c r="U573" s="14"/>
      <c r="V573" s="14"/>
      <c r="W573" s="14"/>
      <c r="AA573" s="14"/>
    </row>
    <row r="574" ht="15.75" customHeight="1">
      <c r="F574" s="14"/>
      <c r="K574" s="14"/>
      <c r="L574" s="14"/>
      <c r="P574" s="14"/>
      <c r="T574" s="14"/>
      <c r="U574" s="14"/>
      <c r="V574" s="14"/>
      <c r="W574" s="14"/>
      <c r="AA574" s="14"/>
    </row>
    <row r="575" ht="15.75" customHeight="1">
      <c r="F575" s="14"/>
      <c r="K575" s="14"/>
      <c r="L575" s="14"/>
      <c r="P575" s="14"/>
      <c r="T575" s="14"/>
      <c r="U575" s="14"/>
      <c r="V575" s="14"/>
      <c r="W575" s="14"/>
      <c r="AA575" s="14"/>
    </row>
    <row r="576" ht="15.75" customHeight="1">
      <c r="F576" s="14"/>
      <c r="K576" s="14"/>
      <c r="L576" s="14"/>
      <c r="P576" s="14"/>
      <c r="T576" s="14"/>
      <c r="U576" s="14"/>
      <c r="V576" s="14"/>
      <c r="W576" s="14"/>
      <c r="AA576" s="14"/>
    </row>
    <row r="577" ht="15.75" customHeight="1">
      <c r="F577" s="14"/>
      <c r="K577" s="14"/>
      <c r="L577" s="14"/>
      <c r="P577" s="14"/>
      <c r="T577" s="14"/>
      <c r="U577" s="14"/>
      <c r="V577" s="14"/>
      <c r="W577" s="14"/>
      <c r="AA577" s="14"/>
    </row>
    <row r="578" ht="15.75" customHeight="1">
      <c r="F578" s="14"/>
      <c r="K578" s="14"/>
      <c r="L578" s="14"/>
      <c r="P578" s="14"/>
      <c r="T578" s="14"/>
      <c r="U578" s="14"/>
      <c r="V578" s="14"/>
      <c r="W578" s="14"/>
      <c r="AA578" s="14"/>
    </row>
    <row r="579" ht="15.75" customHeight="1">
      <c r="F579" s="14"/>
      <c r="K579" s="14"/>
      <c r="L579" s="14"/>
      <c r="P579" s="14"/>
      <c r="T579" s="14"/>
      <c r="U579" s="14"/>
      <c r="V579" s="14"/>
      <c r="W579" s="14"/>
      <c r="AA579" s="14"/>
    </row>
    <row r="580" ht="15.75" customHeight="1">
      <c r="F580" s="14"/>
      <c r="K580" s="14"/>
      <c r="L580" s="14"/>
      <c r="P580" s="14"/>
      <c r="T580" s="14"/>
      <c r="U580" s="14"/>
      <c r="V580" s="14"/>
      <c r="W580" s="14"/>
      <c r="AA580" s="14"/>
    </row>
    <row r="581" ht="15.75" customHeight="1">
      <c r="F581" s="14"/>
      <c r="K581" s="14"/>
      <c r="L581" s="14"/>
      <c r="P581" s="14"/>
      <c r="T581" s="14"/>
      <c r="U581" s="14"/>
      <c r="V581" s="14"/>
      <c r="W581" s="14"/>
      <c r="AA581" s="14"/>
    </row>
    <row r="582" ht="15.75" customHeight="1">
      <c r="F582" s="14"/>
      <c r="K582" s="14"/>
      <c r="L582" s="14"/>
      <c r="P582" s="14"/>
      <c r="T582" s="14"/>
      <c r="U582" s="14"/>
      <c r="V582" s="14"/>
      <c r="W582" s="14"/>
      <c r="AA582" s="14"/>
    </row>
    <row r="583" ht="15.75" customHeight="1">
      <c r="F583" s="14"/>
      <c r="K583" s="14"/>
      <c r="L583" s="14"/>
      <c r="P583" s="14"/>
      <c r="T583" s="14"/>
      <c r="U583" s="14"/>
      <c r="V583" s="14"/>
      <c r="W583" s="14"/>
      <c r="AA583" s="14"/>
    </row>
    <row r="584" ht="15.75" customHeight="1">
      <c r="F584" s="14"/>
      <c r="K584" s="14"/>
      <c r="L584" s="14"/>
      <c r="P584" s="14"/>
      <c r="T584" s="14"/>
      <c r="U584" s="14"/>
      <c r="V584" s="14"/>
      <c r="W584" s="14"/>
      <c r="AA584" s="14"/>
    </row>
    <row r="585" ht="15.75" customHeight="1">
      <c r="F585" s="14"/>
      <c r="K585" s="14"/>
      <c r="L585" s="14"/>
      <c r="P585" s="14"/>
      <c r="T585" s="14"/>
      <c r="U585" s="14"/>
      <c r="V585" s="14"/>
      <c r="W585" s="14"/>
      <c r="AA585" s="14"/>
    </row>
    <row r="586" ht="15.75" customHeight="1">
      <c r="F586" s="14"/>
      <c r="K586" s="14"/>
      <c r="L586" s="14"/>
      <c r="P586" s="14"/>
      <c r="T586" s="14"/>
      <c r="U586" s="14"/>
      <c r="V586" s="14"/>
      <c r="W586" s="14"/>
      <c r="AA586" s="14"/>
    </row>
    <row r="587" ht="15.75" customHeight="1">
      <c r="F587" s="14"/>
      <c r="K587" s="14"/>
      <c r="L587" s="14"/>
      <c r="P587" s="14"/>
      <c r="T587" s="14"/>
      <c r="U587" s="14"/>
      <c r="V587" s="14"/>
      <c r="W587" s="14"/>
      <c r="AA587" s="14"/>
    </row>
    <row r="588" ht="15.75" customHeight="1">
      <c r="F588" s="14"/>
      <c r="K588" s="14"/>
      <c r="L588" s="14"/>
      <c r="P588" s="14"/>
      <c r="T588" s="14"/>
      <c r="U588" s="14"/>
      <c r="V588" s="14"/>
      <c r="W588" s="14"/>
      <c r="AA588" s="14"/>
    </row>
    <row r="589" ht="15.75" customHeight="1">
      <c r="F589" s="14"/>
      <c r="K589" s="14"/>
      <c r="L589" s="14"/>
      <c r="P589" s="14"/>
      <c r="T589" s="14"/>
      <c r="U589" s="14"/>
      <c r="V589" s="14"/>
      <c r="W589" s="14"/>
      <c r="AA589" s="14"/>
    </row>
    <row r="590" ht="15.75" customHeight="1">
      <c r="F590" s="14"/>
      <c r="K590" s="14"/>
      <c r="L590" s="14"/>
      <c r="P590" s="14"/>
      <c r="T590" s="14"/>
      <c r="U590" s="14"/>
      <c r="V590" s="14"/>
      <c r="W590" s="14"/>
      <c r="AA590" s="14"/>
    </row>
    <row r="591" ht="15.75" customHeight="1">
      <c r="F591" s="14"/>
      <c r="K591" s="14"/>
      <c r="L591" s="14"/>
      <c r="P591" s="14"/>
      <c r="T591" s="14"/>
      <c r="U591" s="14"/>
      <c r="V591" s="14"/>
      <c r="W591" s="14"/>
      <c r="AA591" s="14"/>
    </row>
    <row r="592" ht="15.75" customHeight="1">
      <c r="F592" s="14"/>
      <c r="K592" s="14"/>
      <c r="L592" s="14"/>
      <c r="P592" s="14"/>
      <c r="T592" s="14"/>
      <c r="U592" s="14"/>
      <c r="V592" s="14"/>
      <c r="W592" s="14"/>
      <c r="AA592" s="14"/>
    </row>
    <row r="593" ht="15.75" customHeight="1">
      <c r="F593" s="14"/>
      <c r="K593" s="14"/>
      <c r="L593" s="14"/>
      <c r="P593" s="14"/>
      <c r="T593" s="14"/>
      <c r="U593" s="14"/>
      <c r="V593" s="14"/>
      <c r="W593" s="14"/>
      <c r="AA593" s="14"/>
    </row>
    <row r="594" ht="15.75" customHeight="1">
      <c r="F594" s="14"/>
      <c r="K594" s="14"/>
      <c r="L594" s="14"/>
      <c r="P594" s="14"/>
      <c r="T594" s="14"/>
      <c r="U594" s="14"/>
      <c r="V594" s="14"/>
      <c r="W594" s="14"/>
      <c r="AA594" s="14"/>
    </row>
    <row r="595" ht="15.75" customHeight="1">
      <c r="F595" s="14"/>
      <c r="K595" s="14"/>
      <c r="L595" s="14"/>
      <c r="P595" s="14"/>
      <c r="T595" s="14"/>
      <c r="U595" s="14"/>
      <c r="V595" s="14"/>
      <c r="W595" s="14"/>
      <c r="AA595" s="14"/>
    </row>
    <row r="596" ht="15.75" customHeight="1">
      <c r="F596" s="14"/>
      <c r="K596" s="14"/>
      <c r="L596" s="14"/>
      <c r="P596" s="14"/>
      <c r="T596" s="14"/>
      <c r="U596" s="14"/>
      <c r="V596" s="14"/>
      <c r="W596" s="14"/>
      <c r="AA596" s="14"/>
    </row>
    <row r="597" ht="15.75" customHeight="1">
      <c r="F597" s="14"/>
      <c r="K597" s="14"/>
      <c r="L597" s="14"/>
      <c r="P597" s="14"/>
      <c r="T597" s="14"/>
      <c r="U597" s="14"/>
      <c r="V597" s="14"/>
      <c r="W597" s="14"/>
      <c r="AA597" s="14"/>
    </row>
    <row r="598" ht="15.75" customHeight="1">
      <c r="F598" s="14"/>
      <c r="K598" s="14"/>
      <c r="L598" s="14"/>
      <c r="P598" s="14"/>
      <c r="T598" s="14"/>
      <c r="U598" s="14"/>
      <c r="V598" s="14"/>
      <c r="W598" s="14"/>
      <c r="AA598" s="14"/>
    </row>
    <row r="599" ht="15.75" customHeight="1">
      <c r="F599" s="14"/>
      <c r="K599" s="14"/>
      <c r="L599" s="14"/>
      <c r="P599" s="14"/>
      <c r="T599" s="14"/>
      <c r="U599" s="14"/>
      <c r="V599" s="14"/>
      <c r="W599" s="14"/>
      <c r="AA599" s="14"/>
    </row>
    <row r="600" ht="15.75" customHeight="1">
      <c r="F600" s="14"/>
      <c r="K600" s="14"/>
      <c r="L600" s="14"/>
      <c r="P600" s="14"/>
      <c r="T600" s="14"/>
      <c r="U600" s="14"/>
      <c r="V600" s="14"/>
      <c r="W600" s="14"/>
      <c r="AA600" s="14"/>
    </row>
    <row r="601" ht="15.75" customHeight="1">
      <c r="F601" s="14"/>
      <c r="K601" s="14"/>
      <c r="L601" s="14"/>
      <c r="P601" s="14"/>
      <c r="T601" s="14"/>
      <c r="U601" s="14"/>
      <c r="V601" s="14"/>
      <c r="W601" s="14"/>
      <c r="AA601" s="14"/>
    </row>
    <row r="602" ht="15.75" customHeight="1">
      <c r="F602" s="14"/>
      <c r="K602" s="14"/>
      <c r="L602" s="14"/>
      <c r="P602" s="14"/>
      <c r="T602" s="14"/>
      <c r="U602" s="14"/>
      <c r="V602" s="14"/>
      <c r="W602" s="14"/>
      <c r="AA602" s="14"/>
    </row>
    <row r="603" ht="15.75" customHeight="1">
      <c r="F603" s="14"/>
      <c r="K603" s="14"/>
      <c r="L603" s="14"/>
      <c r="P603" s="14"/>
      <c r="T603" s="14"/>
      <c r="U603" s="14"/>
      <c r="V603" s="14"/>
      <c r="W603" s="14"/>
      <c r="AA603" s="14"/>
    </row>
    <row r="604" ht="15.75" customHeight="1">
      <c r="F604" s="14"/>
      <c r="K604" s="14"/>
      <c r="L604" s="14"/>
      <c r="P604" s="14"/>
      <c r="T604" s="14"/>
      <c r="U604" s="14"/>
      <c r="V604" s="14"/>
      <c r="W604" s="14"/>
      <c r="AA604" s="14"/>
    </row>
    <row r="605" ht="15.75" customHeight="1">
      <c r="F605" s="14"/>
      <c r="K605" s="14"/>
      <c r="L605" s="14"/>
      <c r="P605" s="14"/>
      <c r="T605" s="14"/>
      <c r="U605" s="14"/>
      <c r="V605" s="14"/>
      <c r="W605" s="14"/>
      <c r="AA605" s="14"/>
    </row>
    <row r="606" ht="15.75" customHeight="1">
      <c r="F606" s="14"/>
      <c r="K606" s="14"/>
      <c r="L606" s="14"/>
      <c r="P606" s="14"/>
      <c r="T606" s="14"/>
      <c r="U606" s="14"/>
      <c r="V606" s="14"/>
      <c r="W606" s="14"/>
      <c r="AA606" s="14"/>
    </row>
    <row r="607" ht="15.75" customHeight="1">
      <c r="F607" s="14"/>
      <c r="K607" s="14"/>
      <c r="L607" s="14"/>
      <c r="P607" s="14"/>
      <c r="T607" s="14"/>
      <c r="U607" s="14"/>
      <c r="V607" s="14"/>
      <c r="W607" s="14"/>
      <c r="AA607" s="14"/>
    </row>
    <row r="608" ht="15.75" customHeight="1">
      <c r="F608" s="14"/>
      <c r="K608" s="14"/>
      <c r="L608" s="14"/>
      <c r="P608" s="14"/>
      <c r="T608" s="14"/>
      <c r="U608" s="14"/>
      <c r="V608" s="14"/>
      <c r="W608" s="14"/>
      <c r="AA608" s="14"/>
    </row>
    <row r="609" ht="15.75" customHeight="1">
      <c r="F609" s="14"/>
      <c r="K609" s="14"/>
      <c r="L609" s="14"/>
      <c r="P609" s="14"/>
      <c r="T609" s="14"/>
      <c r="U609" s="14"/>
      <c r="V609" s="14"/>
      <c r="W609" s="14"/>
      <c r="AA609" s="14"/>
    </row>
    <row r="610" ht="15.75" customHeight="1">
      <c r="F610" s="14"/>
      <c r="K610" s="14"/>
      <c r="L610" s="14"/>
      <c r="P610" s="14"/>
      <c r="T610" s="14"/>
      <c r="U610" s="14"/>
      <c r="V610" s="14"/>
      <c r="W610" s="14"/>
      <c r="AA610" s="14"/>
    </row>
    <row r="611" ht="15.75" customHeight="1">
      <c r="F611" s="14"/>
      <c r="K611" s="14"/>
      <c r="L611" s="14"/>
      <c r="P611" s="14"/>
      <c r="T611" s="14"/>
      <c r="U611" s="14"/>
      <c r="V611" s="14"/>
      <c r="W611" s="14"/>
      <c r="AA611" s="14"/>
    </row>
    <row r="612" ht="15.75" customHeight="1">
      <c r="F612" s="14"/>
      <c r="K612" s="14"/>
      <c r="L612" s="14"/>
      <c r="P612" s="14"/>
      <c r="T612" s="14"/>
      <c r="U612" s="14"/>
      <c r="V612" s="14"/>
      <c r="W612" s="14"/>
      <c r="AA612" s="14"/>
    </row>
    <row r="613" ht="15.75" customHeight="1">
      <c r="F613" s="14"/>
      <c r="K613" s="14"/>
      <c r="L613" s="14"/>
      <c r="P613" s="14"/>
      <c r="T613" s="14"/>
      <c r="U613" s="14"/>
      <c r="V613" s="14"/>
      <c r="W613" s="14"/>
      <c r="AA613" s="14"/>
    </row>
    <row r="614" ht="15.75" customHeight="1">
      <c r="F614" s="14"/>
      <c r="K614" s="14"/>
      <c r="L614" s="14"/>
      <c r="P614" s="14"/>
      <c r="T614" s="14"/>
      <c r="U614" s="14"/>
      <c r="V614" s="14"/>
      <c r="W614" s="14"/>
      <c r="AA614" s="14"/>
    </row>
    <row r="615" ht="15.75" customHeight="1">
      <c r="F615" s="14"/>
      <c r="K615" s="14"/>
      <c r="L615" s="14"/>
      <c r="P615" s="14"/>
      <c r="T615" s="14"/>
      <c r="U615" s="14"/>
      <c r="V615" s="14"/>
      <c r="W615" s="14"/>
      <c r="AA615" s="14"/>
    </row>
    <row r="616" ht="15.75" customHeight="1">
      <c r="F616" s="14"/>
      <c r="K616" s="14"/>
      <c r="L616" s="14"/>
      <c r="P616" s="14"/>
      <c r="T616" s="14"/>
      <c r="U616" s="14"/>
      <c r="V616" s="14"/>
      <c r="W616" s="14"/>
      <c r="AA616" s="14"/>
    </row>
    <row r="617" ht="15.75" customHeight="1">
      <c r="F617" s="14"/>
      <c r="K617" s="14"/>
      <c r="L617" s="14"/>
      <c r="P617" s="14"/>
      <c r="T617" s="14"/>
      <c r="U617" s="14"/>
      <c r="V617" s="14"/>
      <c r="W617" s="14"/>
      <c r="AA617" s="14"/>
    </row>
    <row r="618" ht="15.75" customHeight="1">
      <c r="F618" s="14"/>
      <c r="K618" s="14"/>
      <c r="L618" s="14"/>
      <c r="P618" s="14"/>
      <c r="T618" s="14"/>
      <c r="U618" s="14"/>
      <c r="V618" s="14"/>
      <c r="W618" s="14"/>
      <c r="AA618" s="14"/>
    </row>
    <row r="619" ht="15.75" customHeight="1">
      <c r="F619" s="14"/>
      <c r="K619" s="14"/>
      <c r="L619" s="14"/>
      <c r="P619" s="14"/>
      <c r="T619" s="14"/>
      <c r="U619" s="14"/>
      <c r="V619" s="14"/>
      <c r="W619" s="14"/>
      <c r="AA619" s="14"/>
    </row>
    <row r="620" ht="15.75" customHeight="1">
      <c r="F620" s="14"/>
      <c r="K620" s="14"/>
      <c r="L620" s="14"/>
      <c r="P620" s="14"/>
      <c r="T620" s="14"/>
      <c r="U620" s="14"/>
      <c r="V620" s="14"/>
      <c r="W620" s="14"/>
      <c r="AA620" s="14"/>
    </row>
    <row r="621" ht="15.75" customHeight="1">
      <c r="F621" s="14"/>
      <c r="K621" s="14"/>
      <c r="L621" s="14"/>
      <c r="P621" s="14"/>
      <c r="T621" s="14"/>
      <c r="U621" s="14"/>
      <c r="V621" s="14"/>
      <c r="W621" s="14"/>
      <c r="AA621" s="14"/>
    </row>
    <row r="622" ht="15.75" customHeight="1">
      <c r="F622" s="14"/>
      <c r="K622" s="14"/>
      <c r="L622" s="14"/>
      <c r="P622" s="14"/>
      <c r="T622" s="14"/>
      <c r="U622" s="14"/>
      <c r="V622" s="14"/>
      <c r="W622" s="14"/>
      <c r="AA622" s="14"/>
    </row>
    <row r="623" ht="15.75" customHeight="1">
      <c r="F623" s="14"/>
      <c r="K623" s="14"/>
      <c r="L623" s="14"/>
      <c r="P623" s="14"/>
      <c r="T623" s="14"/>
      <c r="U623" s="14"/>
      <c r="V623" s="14"/>
      <c r="W623" s="14"/>
      <c r="AA623" s="14"/>
    </row>
    <row r="624" ht="15.75" customHeight="1">
      <c r="F624" s="14"/>
      <c r="K624" s="14"/>
      <c r="L624" s="14"/>
      <c r="P624" s="14"/>
      <c r="T624" s="14"/>
      <c r="U624" s="14"/>
      <c r="V624" s="14"/>
      <c r="W624" s="14"/>
      <c r="AA624" s="14"/>
    </row>
    <row r="625" ht="15.75" customHeight="1">
      <c r="F625" s="14"/>
      <c r="K625" s="14"/>
      <c r="L625" s="14"/>
      <c r="P625" s="14"/>
      <c r="T625" s="14"/>
      <c r="U625" s="14"/>
      <c r="V625" s="14"/>
      <c r="W625" s="14"/>
      <c r="AA625" s="14"/>
    </row>
    <row r="626" ht="15.75" customHeight="1">
      <c r="F626" s="14"/>
      <c r="K626" s="14"/>
      <c r="L626" s="14"/>
      <c r="P626" s="14"/>
      <c r="T626" s="14"/>
      <c r="U626" s="14"/>
      <c r="V626" s="14"/>
      <c r="W626" s="14"/>
      <c r="AA626" s="14"/>
    </row>
    <row r="627" ht="15.75" customHeight="1">
      <c r="F627" s="14"/>
      <c r="K627" s="14"/>
      <c r="L627" s="14"/>
      <c r="P627" s="14"/>
      <c r="T627" s="14"/>
      <c r="U627" s="14"/>
      <c r="V627" s="14"/>
      <c r="W627" s="14"/>
      <c r="AA627" s="14"/>
    </row>
    <row r="628" ht="15.75" customHeight="1">
      <c r="F628" s="14"/>
      <c r="K628" s="14"/>
      <c r="L628" s="14"/>
      <c r="P628" s="14"/>
      <c r="T628" s="14"/>
      <c r="U628" s="14"/>
      <c r="V628" s="14"/>
      <c r="W628" s="14"/>
      <c r="AA628" s="14"/>
    </row>
    <row r="629" ht="15.75" customHeight="1">
      <c r="F629" s="14"/>
      <c r="K629" s="14"/>
      <c r="L629" s="14"/>
      <c r="P629" s="14"/>
      <c r="T629" s="14"/>
      <c r="U629" s="14"/>
      <c r="V629" s="14"/>
      <c r="W629" s="14"/>
      <c r="AA629" s="14"/>
    </row>
    <row r="630" ht="15.75" customHeight="1">
      <c r="F630" s="14"/>
      <c r="K630" s="14"/>
      <c r="L630" s="14"/>
      <c r="P630" s="14"/>
      <c r="T630" s="14"/>
      <c r="U630" s="14"/>
      <c r="V630" s="14"/>
      <c r="W630" s="14"/>
      <c r="AA630" s="14"/>
    </row>
    <row r="631" ht="15.75" customHeight="1">
      <c r="F631" s="14"/>
      <c r="K631" s="14"/>
      <c r="L631" s="14"/>
      <c r="P631" s="14"/>
      <c r="T631" s="14"/>
      <c r="U631" s="14"/>
      <c r="V631" s="14"/>
      <c r="W631" s="14"/>
      <c r="AA631" s="14"/>
    </row>
    <row r="632" ht="15.75" customHeight="1">
      <c r="F632" s="14"/>
      <c r="K632" s="14"/>
      <c r="L632" s="14"/>
      <c r="P632" s="14"/>
      <c r="T632" s="14"/>
      <c r="U632" s="14"/>
      <c r="V632" s="14"/>
      <c r="W632" s="14"/>
      <c r="AA632" s="14"/>
    </row>
    <row r="633" ht="15.75" customHeight="1">
      <c r="F633" s="14"/>
      <c r="K633" s="14"/>
      <c r="L633" s="14"/>
      <c r="P633" s="14"/>
      <c r="T633" s="14"/>
      <c r="U633" s="14"/>
      <c r="V633" s="14"/>
      <c r="W633" s="14"/>
      <c r="AA633" s="14"/>
    </row>
    <row r="634" ht="15.75" customHeight="1">
      <c r="F634" s="14"/>
      <c r="K634" s="14"/>
      <c r="L634" s="14"/>
      <c r="P634" s="14"/>
      <c r="T634" s="14"/>
      <c r="U634" s="14"/>
      <c r="V634" s="14"/>
      <c r="W634" s="14"/>
      <c r="AA634" s="14"/>
    </row>
    <row r="635" ht="15.75" customHeight="1">
      <c r="F635" s="14"/>
      <c r="K635" s="14"/>
      <c r="L635" s="14"/>
      <c r="P635" s="14"/>
      <c r="T635" s="14"/>
      <c r="U635" s="14"/>
      <c r="V635" s="14"/>
      <c r="W635" s="14"/>
      <c r="AA635" s="14"/>
    </row>
    <row r="636" ht="15.75" customHeight="1">
      <c r="F636" s="14"/>
      <c r="K636" s="14"/>
      <c r="L636" s="14"/>
      <c r="P636" s="14"/>
      <c r="T636" s="14"/>
      <c r="U636" s="14"/>
      <c r="V636" s="14"/>
      <c r="W636" s="14"/>
      <c r="AA636" s="14"/>
    </row>
    <row r="637" ht="15.75" customHeight="1">
      <c r="F637" s="14"/>
      <c r="K637" s="14"/>
      <c r="L637" s="14"/>
      <c r="P637" s="14"/>
      <c r="T637" s="14"/>
      <c r="U637" s="14"/>
      <c r="V637" s="14"/>
      <c r="W637" s="14"/>
      <c r="AA637" s="14"/>
    </row>
    <row r="638" ht="15.75" customHeight="1">
      <c r="F638" s="14"/>
      <c r="K638" s="14"/>
      <c r="L638" s="14"/>
      <c r="P638" s="14"/>
      <c r="T638" s="14"/>
      <c r="U638" s="14"/>
      <c r="V638" s="14"/>
      <c r="W638" s="14"/>
      <c r="AA638" s="14"/>
    </row>
    <row r="639" ht="15.75" customHeight="1">
      <c r="F639" s="14"/>
      <c r="K639" s="14"/>
      <c r="L639" s="14"/>
      <c r="P639" s="14"/>
      <c r="T639" s="14"/>
      <c r="U639" s="14"/>
      <c r="V639" s="14"/>
      <c r="W639" s="14"/>
      <c r="AA639" s="14"/>
    </row>
    <row r="640" ht="15.75" customHeight="1">
      <c r="F640" s="14"/>
      <c r="K640" s="14"/>
      <c r="L640" s="14"/>
      <c r="P640" s="14"/>
      <c r="T640" s="14"/>
      <c r="U640" s="14"/>
      <c r="V640" s="14"/>
      <c r="W640" s="14"/>
      <c r="AA640" s="14"/>
    </row>
    <row r="641" ht="15.75" customHeight="1">
      <c r="F641" s="14"/>
      <c r="K641" s="14"/>
      <c r="L641" s="14"/>
      <c r="P641" s="14"/>
      <c r="T641" s="14"/>
      <c r="U641" s="14"/>
      <c r="V641" s="14"/>
      <c r="W641" s="14"/>
      <c r="AA641" s="14"/>
    </row>
    <row r="642" ht="15.75" customHeight="1">
      <c r="F642" s="14"/>
      <c r="K642" s="14"/>
      <c r="L642" s="14"/>
      <c r="P642" s="14"/>
      <c r="T642" s="14"/>
      <c r="U642" s="14"/>
      <c r="V642" s="14"/>
      <c r="W642" s="14"/>
      <c r="AA642" s="14"/>
    </row>
    <row r="643" ht="15.75" customHeight="1">
      <c r="F643" s="14"/>
      <c r="K643" s="14"/>
      <c r="L643" s="14"/>
      <c r="P643" s="14"/>
      <c r="T643" s="14"/>
      <c r="U643" s="14"/>
      <c r="V643" s="14"/>
      <c r="W643" s="14"/>
      <c r="AA643" s="14"/>
    </row>
    <row r="644" ht="15.75" customHeight="1">
      <c r="F644" s="14"/>
      <c r="K644" s="14"/>
      <c r="L644" s="14"/>
      <c r="P644" s="14"/>
      <c r="T644" s="14"/>
      <c r="U644" s="14"/>
      <c r="V644" s="14"/>
      <c r="W644" s="14"/>
      <c r="AA644" s="14"/>
    </row>
    <row r="645" ht="15.75" customHeight="1">
      <c r="F645" s="14"/>
      <c r="K645" s="14"/>
      <c r="L645" s="14"/>
      <c r="P645" s="14"/>
      <c r="T645" s="14"/>
      <c r="U645" s="14"/>
      <c r="V645" s="14"/>
      <c r="W645" s="14"/>
      <c r="AA645" s="14"/>
    </row>
    <row r="646" ht="15.75" customHeight="1">
      <c r="F646" s="14"/>
      <c r="K646" s="14"/>
      <c r="L646" s="14"/>
      <c r="P646" s="14"/>
      <c r="T646" s="14"/>
      <c r="U646" s="14"/>
      <c r="V646" s="14"/>
      <c r="W646" s="14"/>
      <c r="AA646" s="14"/>
    </row>
    <row r="647" ht="15.75" customHeight="1">
      <c r="F647" s="14"/>
      <c r="K647" s="14"/>
      <c r="L647" s="14"/>
      <c r="P647" s="14"/>
      <c r="T647" s="14"/>
      <c r="U647" s="14"/>
      <c r="V647" s="14"/>
      <c r="W647" s="14"/>
      <c r="AA647" s="14"/>
    </row>
    <row r="648" ht="15.75" customHeight="1">
      <c r="F648" s="14"/>
      <c r="K648" s="14"/>
      <c r="L648" s="14"/>
      <c r="P648" s="14"/>
      <c r="T648" s="14"/>
      <c r="U648" s="14"/>
      <c r="V648" s="14"/>
      <c r="W648" s="14"/>
      <c r="AA648" s="14"/>
    </row>
    <row r="649" ht="15.75" customHeight="1">
      <c r="F649" s="14"/>
      <c r="K649" s="14"/>
      <c r="L649" s="14"/>
      <c r="P649" s="14"/>
      <c r="T649" s="14"/>
      <c r="U649" s="14"/>
      <c r="V649" s="14"/>
      <c r="W649" s="14"/>
      <c r="AA649" s="14"/>
    </row>
    <row r="650" ht="15.75" customHeight="1">
      <c r="F650" s="14"/>
      <c r="K650" s="14"/>
      <c r="L650" s="14"/>
      <c r="P650" s="14"/>
      <c r="T650" s="14"/>
      <c r="U650" s="14"/>
      <c r="V650" s="14"/>
      <c r="W650" s="14"/>
      <c r="AA650" s="14"/>
    </row>
    <row r="651" ht="15.75" customHeight="1">
      <c r="F651" s="14"/>
      <c r="K651" s="14"/>
      <c r="L651" s="14"/>
      <c r="P651" s="14"/>
      <c r="T651" s="14"/>
      <c r="U651" s="14"/>
      <c r="V651" s="14"/>
      <c r="W651" s="14"/>
      <c r="AA651" s="14"/>
    </row>
    <row r="652" ht="15.75" customHeight="1">
      <c r="F652" s="14"/>
      <c r="K652" s="14"/>
      <c r="L652" s="14"/>
      <c r="P652" s="14"/>
      <c r="T652" s="14"/>
      <c r="U652" s="14"/>
      <c r="V652" s="14"/>
      <c r="W652" s="14"/>
      <c r="AA652" s="14"/>
    </row>
    <row r="653" ht="15.75" customHeight="1">
      <c r="F653" s="14"/>
      <c r="K653" s="14"/>
      <c r="L653" s="14"/>
      <c r="P653" s="14"/>
      <c r="T653" s="14"/>
      <c r="U653" s="14"/>
      <c r="V653" s="14"/>
      <c r="W653" s="14"/>
      <c r="AA653" s="14"/>
    </row>
    <row r="654" ht="15.75" customHeight="1">
      <c r="F654" s="14"/>
      <c r="K654" s="14"/>
      <c r="L654" s="14"/>
      <c r="P654" s="14"/>
      <c r="T654" s="14"/>
      <c r="U654" s="14"/>
      <c r="V654" s="14"/>
      <c r="W654" s="14"/>
      <c r="AA654" s="14"/>
    </row>
    <row r="655" ht="15.75" customHeight="1">
      <c r="F655" s="14"/>
      <c r="K655" s="14"/>
      <c r="L655" s="14"/>
      <c r="P655" s="14"/>
      <c r="T655" s="14"/>
      <c r="U655" s="14"/>
      <c r="V655" s="14"/>
      <c r="W655" s="14"/>
      <c r="AA655" s="14"/>
    </row>
    <row r="656" ht="15.75" customHeight="1">
      <c r="F656" s="14"/>
      <c r="K656" s="14"/>
      <c r="L656" s="14"/>
      <c r="P656" s="14"/>
      <c r="T656" s="14"/>
      <c r="U656" s="14"/>
      <c r="V656" s="14"/>
      <c r="W656" s="14"/>
      <c r="AA656" s="14"/>
    </row>
    <row r="657" ht="15.75" customHeight="1">
      <c r="F657" s="14"/>
      <c r="K657" s="14"/>
      <c r="L657" s="14"/>
      <c r="P657" s="14"/>
      <c r="T657" s="14"/>
      <c r="U657" s="14"/>
      <c r="V657" s="14"/>
      <c r="W657" s="14"/>
      <c r="AA657" s="14"/>
    </row>
    <row r="658" ht="15.75" customHeight="1">
      <c r="F658" s="14"/>
      <c r="K658" s="14"/>
      <c r="L658" s="14"/>
      <c r="P658" s="14"/>
      <c r="T658" s="14"/>
      <c r="U658" s="14"/>
      <c r="V658" s="14"/>
      <c r="W658" s="14"/>
      <c r="AA658" s="14"/>
    </row>
    <row r="659" ht="15.75" customHeight="1">
      <c r="F659" s="14"/>
      <c r="K659" s="14"/>
      <c r="L659" s="14"/>
      <c r="P659" s="14"/>
      <c r="T659" s="14"/>
      <c r="U659" s="14"/>
      <c r="V659" s="14"/>
      <c r="W659" s="14"/>
      <c r="AA659" s="14"/>
    </row>
    <row r="660" ht="15.75" customHeight="1">
      <c r="F660" s="14"/>
      <c r="K660" s="14"/>
      <c r="L660" s="14"/>
      <c r="P660" s="14"/>
      <c r="T660" s="14"/>
      <c r="U660" s="14"/>
      <c r="V660" s="14"/>
      <c r="W660" s="14"/>
      <c r="AA660" s="14"/>
    </row>
    <row r="661" ht="15.75" customHeight="1">
      <c r="F661" s="14"/>
      <c r="K661" s="14"/>
      <c r="L661" s="14"/>
      <c r="P661" s="14"/>
      <c r="T661" s="14"/>
      <c r="U661" s="14"/>
      <c r="V661" s="14"/>
      <c r="W661" s="14"/>
      <c r="AA661" s="14"/>
    </row>
    <row r="662" ht="15.75" customHeight="1">
      <c r="F662" s="14"/>
      <c r="K662" s="14"/>
      <c r="L662" s="14"/>
      <c r="P662" s="14"/>
      <c r="T662" s="14"/>
      <c r="U662" s="14"/>
      <c r="V662" s="14"/>
      <c r="W662" s="14"/>
      <c r="AA662" s="14"/>
    </row>
    <row r="663" ht="15.75" customHeight="1">
      <c r="F663" s="14"/>
      <c r="K663" s="14"/>
      <c r="L663" s="14"/>
      <c r="P663" s="14"/>
      <c r="T663" s="14"/>
      <c r="U663" s="14"/>
      <c r="V663" s="14"/>
      <c r="W663" s="14"/>
      <c r="AA663" s="14"/>
    </row>
    <row r="664" ht="15.75" customHeight="1">
      <c r="F664" s="14"/>
      <c r="K664" s="14"/>
      <c r="L664" s="14"/>
      <c r="P664" s="14"/>
      <c r="T664" s="14"/>
      <c r="U664" s="14"/>
      <c r="V664" s="14"/>
      <c r="W664" s="14"/>
      <c r="AA664" s="14"/>
    </row>
    <row r="665" ht="15.75" customHeight="1">
      <c r="F665" s="14"/>
      <c r="K665" s="14"/>
      <c r="L665" s="14"/>
      <c r="P665" s="14"/>
      <c r="T665" s="14"/>
      <c r="U665" s="14"/>
      <c r="V665" s="14"/>
      <c r="W665" s="14"/>
      <c r="AA665" s="14"/>
    </row>
    <row r="666" ht="15.75" customHeight="1">
      <c r="F666" s="14"/>
      <c r="K666" s="14"/>
      <c r="L666" s="14"/>
      <c r="P666" s="14"/>
      <c r="T666" s="14"/>
      <c r="U666" s="14"/>
      <c r="V666" s="14"/>
      <c r="W666" s="14"/>
      <c r="AA666" s="14"/>
    </row>
    <row r="667" ht="15.75" customHeight="1">
      <c r="F667" s="14"/>
      <c r="K667" s="14"/>
      <c r="L667" s="14"/>
      <c r="P667" s="14"/>
      <c r="T667" s="14"/>
      <c r="U667" s="14"/>
      <c r="V667" s="14"/>
      <c r="W667" s="14"/>
      <c r="AA667" s="14"/>
    </row>
    <row r="668" ht="15.75" customHeight="1">
      <c r="F668" s="14"/>
      <c r="K668" s="14"/>
      <c r="L668" s="14"/>
      <c r="P668" s="14"/>
      <c r="T668" s="14"/>
      <c r="U668" s="14"/>
      <c r="V668" s="14"/>
      <c r="W668" s="14"/>
      <c r="AA668" s="14"/>
    </row>
    <row r="669" ht="15.75" customHeight="1">
      <c r="F669" s="14"/>
      <c r="K669" s="14"/>
      <c r="L669" s="14"/>
      <c r="P669" s="14"/>
      <c r="T669" s="14"/>
      <c r="U669" s="14"/>
      <c r="V669" s="14"/>
      <c r="W669" s="14"/>
      <c r="AA669" s="14"/>
    </row>
    <row r="670" ht="15.75" customHeight="1">
      <c r="F670" s="14"/>
      <c r="K670" s="14"/>
      <c r="L670" s="14"/>
      <c r="P670" s="14"/>
      <c r="T670" s="14"/>
      <c r="U670" s="14"/>
      <c r="V670" s="14"/>
      <c r="W670" s="14"/>
      <c r="AA670" s="14"/>
    </row>
    <row r="671" ht="15.75" customHeight="1">
      <c r="F671" s="14"/>
      <c r="K671" s="14"/>
      <c r="L671" s="14"/>
      <c r="P671" s="14"/>
      <c r="T671" s="14"/>
      <c r="U671" s="14"/>
      <c r="V671" s="14"/>
      <c r="W671" s="14"/>
      <c r="AA671" s="14"/>
    </row>
    <row r="672" ht="15.75" customHeight="1">
      <c r="F672" s="14"/>
      <c r="K672" s="14"/>
      <c r="L672" s="14"/>
      <c r="P672" s="14"/>
      <c r="T672" s="14"/>
      <c r="U672" s="14"/>
      <c r="V672" s="14"/>
      <c r="W672" s="14"/>
      <c r="AA672" s="14"/>
    </row>
    <row r="673" ht="15.75" customHeight="1">
      <c r="F673" s="14"/>
      <c r="K673" s="14"/>
      <c r="L673" s="14"/>
      <c r="P673" s="14"/>
      <c r="T673" s="14"/>
      <c r="U673" s="14"/>
      <c r="V673" s="14"/>
      <c r="W673" s="14"/>
      <c r="AA673" s="14"/>
    </row>
    <row r="674" ht="15.75" customHeight="1">
      <c r="F674" s="14"/>
      <c r="K674" s="14"/>
      <c r="L674" s="14"/>
      <c r="P674" s="14"/>
      <c r="T674" s="14"/>
      <c r="U674" s="14"/>
      <c r="V674" s="14"/>
      <c r="W674" s="14"/>
      <c r="AA674" s="14"/>
    </row>
    <row r="675" ht="15.75" customHeight="1">
      <c r="F675" s="14"/>
      <c r="K675" s="14"/>
      <c r="L675" s="14"/>
      <c r="P675" s="14"/>
      <c r="T675" s="14"/>
      <c r="U675" s="14"/>
      <c r="V675" s="14"/>
      <c r="W675" s="14"/>
      <c r="AA675" s="14"/>
    </row>
    <row r="676" ht="15.75" customHeight="1">
      <c r="F676" s="14"/>
      <c r="K676" s="14"/>
      <c r="L676" s="14"/>
      <c r="P676" s="14"/>
      <c r="T676" s="14"/>
      <c r="U676" s="14"/>
      <c r="V676" s="14"/>
      <c r="W676" s="14"/>
      <c r="AA676" s="14"/>
    </row>
    <row r="677" ht="15.75" customHeight="1">
      <c r="F677" s="14"/>
      <c r="K677" s="14"/>
      <c r="L677" s="14"/>
      <c r="P677" s="14"/>
      <c r="T677" s="14"/>
      <c r="U677" s="14"/>
      <c r="V677" s="14"/>
      <c r="W677" s="14"/>
      <c r="AA677" s="14"/>
    </row>
    <row r="678" ht="15.75" customHeight="1">
      <c r="F678" s="14"/>
      <c r="K678" s="14"/>
      <c r="L678" s="14"/>
      <c r="P678" s="14"/>
      <c r="T678" s="14"/>
      <c r="U678" s="14"/>
      <c r="V678" s="14"/>
      <c r="W678" s="14"/>
      <c r="AA678" s="14"/>
    </row>
    <row r="679" ht="15.75" customHeight="1">
      <c r="F679" s="14"/>
      <c r="K679" s="14"/>
      <c r="L679" s="14"/>
      <c r="P679" s="14"/>
      <c r="T679" s="14"/>
      <c r="U679" s="14"/>
      <c r="V679" s="14"/>
      <c r="W679" s="14"/>
      <c r="AA679" s="14"/>
    </row>
    <row r="680" ht="15.75" customHeight="1">
      <c r="F680" s="14"/>
      <c r="K680" s="14"/>
      <c r="L680" s="14"/>
      <c r="P680" s="14"/>
      <c r="T680" s="14"/>
      <c r="U680" s="14"/>
      <c r="V680" s="14"/>
      <c r="W680" s="14"/>
      <c r="AA680" s="14"/>
    </row>
    <row r="681" ht="15.75" customHeight="1">
      <c r="F681" s="14"/>
      <c r="K681" s="14"/>
      <c r="L681" s="14"/>
      <c r="P681" s="14"/>
      <c r="T681" s="14"/>
      <c r="U681" s="14"/>
      <c r="V681" s="14"/>
      <c r="W681" s="14"/>
      <c r="AA681" s="14"/>
    </row>
    <row r="682" ht="15.75" customHeight="1">
      <c r="F682" s="14"/>
      <c r="K682" s="14"/>
      <c r="L682" s="14"/>
      <c r="P682" s="14"/>
      <c r="T682" s="14"/>
      <c r="U682" s="14"/>
      <c r="V682" s="14"/>
      <c r="W682" s="14"/>
      <c r="AA682" s="14"/>
    </row>
    <row r="683" ht="15.75" customHeight="1">
      <c r="F683" s="14"/>
      <c r="K683" s="14"/>
      <c r="L683" s="14"/>
      <c r="P683" s="14"/>
      <c r="T683" s="14"/>
      <c r="U683" s="14"/>
      <c r="V683" s="14"/>
      <c r="W683" s="14"/>
      <c r="AA683" s="14"/>
    </row>
    <row r="684" ht="15.75" customHeight="1">
      <c r="F684" s="14"/>
      <c r="K684" s="14"/>
      <c r="L684" s="14"/>
      <c r="P684" s="14"/>
      <c r="T684" s="14"/>
      <c r="U684" s="14"/>
      <c r="V684" s="14"/>
      <c r="W684" s="14"/>
      <c r="AA684" s="14"/>
    </row>
    <row r="685" ht="15.75" customHeight="1">
      <c r="F685" s="14"/>
      <c r="K685" s="14"/>
      <c r="L685" s="14"/>
      <c r="P685" s="14"/>
      <c r="T685" s="14"/>
      <c r="U685" s="14"/>
      <c r="V685" s="14"/>
      <c r="W685" s="14"/>
      <c r="AA685" s="14"/>
    </row>
    <row r="686" ht="15.75" customHeight="1">
      <c r="F686" s="14"/>
      <c r="K686" s="14"/>
      <c r="L686" s="14"/>
      <c r="P686" s="14"/>
      <c r="T686" s="14"/>
      <c r="U686" s="14"/>
      <c r="V686" s="14"/>
      <c r="W686" s="14"/>
      <c r="AA686" s="14"/>
    </row>
    <row r="687" ht="15.75" customHeight="1">
      <c r="F687" s="14"/>
      <c r="K687" s="14"/>
      <c r="L687" s="14"/>
      <c r="P687" s="14"/>
      <c r="T687" s="14"/>
      <c r="U687" s="14"/>
      <c r="V687" s="14"/>
      <c r="W687" s="14"/>
      <c r="AA687" s="14"/>
    </row>
    <row r="688" ht="15.75" customHeight="1">
      <c r="F688" s="14"/>
      <c r="K688" s="14"/>
      <c r="L688" s="14"/>
      <c r="P688" s="14"/>
      <c r="T688" s="14"/>
      <c r="U688" s="14"/>
      <c r="V688" s="14"/>
      <c r="W688" s="14"/>
      <c r="AA688" s="14"/>
    </row>
    <row r="689" ht="15.75" customHeight="1">
      <c r="F689" s="14"/>
      <c r="K689" s="14"/>
      <c r="L689" s="14"/>
      <c r="P689" s="14"/>
      <c r="T689" s="14"/>
      <c r="U689" s="14"/>
      <c r="V689" s="14"/>
      <c r="W689" s="14"/>
      <c r="AA689" s="14"/>
    </row>
    <row r="690" ht="15.75" customHeight="1">
      <c r="F690" s="14"/>
      <c r="K690" s="14"/>
      <c r="L690" s="14"/>
      <c r="P690" s="14"/>
      <c r="T690" s="14"/>
      <c r="U690" s="14"/>
      <c r="V690" s="14"/>
      <c r="W690" s="14"/>
      <c r="AA690" s="14"/>
    </row>
    <row r="691" ht="15.75" customHeight="1">
      <c r="F691" s="14"/>
      <c r="K691" s="14"/>
      <c r="L691" s="14"/>
      <c r="P691" s="14"/>
      <c r="T691" s="14"/>
      <c r="U691" s="14"/>
      <c r="V691" s="14"/>
      <c r="W691" s="14"/>
      <c r="AA691" s="14"/>
    </row>
    <row r="692" ht="15.75" customHeight="1">
      <c r="F692" s="14"/>
      <c r="K692" s="14"/>
      <c r="L692" s="14"/>
      <c r="P692" s="14"/>
      <c r="T692" s="14"/>
      <c r="U692" s="14"/>
      <c r="V692" s="14"/>
      <c r="W692" s="14"/>
      <c r="AA692" s="14"/>
    </row>
    <row r="693" ht="15.75" customHeight="1">
      <c r="F693" s="14"/>
      <c r="K693" s="14"/>
      <c r="L693" s="14"/>
      <c r="P693" s="14"/>
      <c r="T693" s="14"/>
      <c r="U693" s="14"/>
      <c r="V693" s="14"/>
      <c r="W693" s="14"/>
      <c r="AA693" s="14"/>
    </row>
    <row r="694" ht="15.75" customHeight="1">
      <c r="F694" s="14"/>
      <c r="K694" s="14"/>
      <c r="L694" s="14"/>
      <c r="P694" s="14"/>
      <c r="T694" s="14"/>
      <c r="U694" s="14"/>
      <c r="V694" s="14"/>
      <c r="W694" s="14"/>
      <c r="AA694" s="14"/>
    </row>
    <row r="695" ht="15.75" customHeight="1">
      <c r="F695" s="14"/>
      <c r="K695" s="14"/>
      <c r="L695" s="14"/>
      <c r="P695" s="14"/>
      <c r="T695" s="14"/>
      <c r="U695" s="14"/>
      <c r="V695" s="14"/>
      <c r="W695" s="14"/>
      <c r="AA695" s="14"/>
    </row>
    <row r="696" ht="15.75" customHeight="1">
      <c r="F696" s="14"/>
      <c r="K696" s="14"/>
      <c r="L696" s="14"/>
      <c r="P696" s="14"/>
      <c r="T696" s="14"/>
      <c r="U696" s="14"/>
      <c r="V696" s="14"/>
      <c r="W696" s="14"/>
      <c r="AA696" s="14"/>
    </row>
    <row r="697" ht="15.75" customHeight="1">
      <c r="F697" s="14"/>
      <c r="K697" s="14"/>
      <c r="L697" s="14"/>
      <c r="P697" s="14"/>
      <c r="T697" s="14"/>
      <c r="U697" s="14"/>
      <c r="V697" s="14"/>
      <c r="W697" s="14"/>
      <c r="AA697" s="14"/>
    </row>
    <row r="698" ht="15.75" customHeight="1">
      <c r="F698" s="14"/>
      <c r="K698" s="14"/>
      <c r="L698" s="14"/>
      <c r="P698" s="14"/>
      <c r="T698" s="14"/>
      <c r="U698" s="14"/>
      <c r="V698" s="14"/>
      <c r="W698" s="14"/>
      <c r="AA698" s="14"/>
    </row>
    <row r="699" ht="15.75" customHeight="1">
      <c r="F699" s="14"/>
      <c r="K699" s="14"/>
      <c r="L699" s="14"/>
      <c r="P699" s="14"/>
      <c r="T699" s="14"/>
      <c r="U699" s="14"/>
      <c r="V699" s="14"/>
      <c r="W699" s="14"/>
      <c r="AA699" s="14"/>
    </row>
    <row r="700" ht="15.75" customHeight="1">
      <c r="F700" s="14"/>
      <c r="K700" s="14"/>
      <c r="L700" s="14"/>
      <c r="P700" s="14"/>
      <c r="T700" s="14"/>
      <c r="U700" s="14"/>
      <c r="V700" s="14"/>
      <c r="W700" s="14"/>
      <c r="AA700" s="14"/>
    </row>
    <row r="701" ht="15.75" customHeight="1">
      <c r="F701" s="14"/>
      <c r="K701" s="14"/>
      <c r="L701" s="14"/>
      <c r="P701" s="14"/>
      <c r="T701" s="14"/>
      <c r="U701" s="14"/>
      <c r="V701" s="14"/>
      <c r="W701" s="14"/>
      <c r="AA701" s="14"/>
    </row>
    <row r="702" ht="15.75" customHeight="1">
      <c r="F702" s="14"/>
      <c r="K702" s="14"/>
      <c r="L702" s="14"/>
      <c r="P702" s="14"/>
      <c r="T702" s="14"/>
      <c r="U702" s="14"/>
      <c r="V702" s="14"/>
      <c r="W702" s="14"/>
      <c r="AA702" s="14"/>
    </row>
    <row r="703" ht="15.75" customHeight="1">
      <c r="F703" s="14"/>
      <c r="K703" s="14"/>
      <c r="L703" s="14"/>
      <c r="P703" s="14"/>
      <c r="T703" s="14"/>
      <c r="U703" s="14"/>
      <c r="V703" s="14"/>
      <c r="W703" s="14"/>
      <c r="AA703" s="14"/>
    </row>
    <row r="704" ht="15.75" customHeight="1">
      <c r="F704" s="14"/>
      <c r="K704" s="14"/>
      <c r="L704" s="14"/>
      <c r="P704" s="14"/>
      <c r="T704" s="14"/>
      <c r="U704" s="14"/>
      <c r="V704" s="14"/>
      <c r="W704" s="14"/>
      <c r="AA704" s="14"/>
    </row>
    <row r="705" ht="15.75" customHeight="1">
      <c r="F705" s="14"/>
      <c r="K705" s="14"/>
      <c r="L705" s="14"/>
      <c r="P705" s="14"/>
      <c r="T705" s="14"/>
      <c r="U705" s="14"/>
      <c r="V705" s="14"/>
      <c r="W705" s="14"/>
      <c r="AA705" s="14"/>
    </row>
    <row r="706" ht="15.75" customHeight="1">
      <c r="F706" s="14"/>
      <c r="K706" s="14"/>
      <c r="L706" s="14"/>
      <c r="P706" s="14"/>
      <c r="T706" s="14"/>
      <c r="U706" s="14"/>
      <c r="V706" s="14"/>
      <c r="W706" s="14"/>
      <c r="AA706" s="14"/>
    </row>
    <row r="707" ht="15.75" customHeight="1">
      <c r="F707" s="14"/>
      <c r="K707" s="14"/>
      <c r="L707" s="14"/>
      <c r="P707" s="14"/>
      <c r="T707" s="14"/>
      <c r="U707" s="14"/>
      <c r="V707" s="14"/>
      <c r="W707" s="14"/>
      <c r="AA707" s="14"/>
    </row>
    <row r="708" ht="15.75" customHeight="1">
      <c r="F708" s="14"/>
      <c r="K708" s="14"/>
      <c r="L708" s="14"/>
      <c r="P708" s="14"/>
      <c r="T708" s="14"/>
      <c r="U708" s="14"/>
      <c r="V708" s="14"/>
      <c r="W708" s="14"/>
      <c r="AA708" s="14"/>
    </row>
    <row r="709" ht="15.75" customHeight="1">
      <c r="F709" s="14"/>
      <c r="K709" s="14"/>
      <c r="L709" s="14"/>
      <c r="P709" s="14"/>
      <c r="T709" s="14"/>
      <c r="U709" s="14"/>
      <c r="V709" s="14"/>
      <c r="W709" s="14"/>
      <c r="AA709" s="14"/>
    </row>
    <row r="710" ht="15.75" customHeight="1">
      <c r="F710" s="14"/>
      <c r="K710" s="14"/>
      <c r="L710" s="14"/>
      <c r="P710" s="14"/>
      <c r="T710" s="14"/>
      <c r="U710" s="14"/>
      <c r="V710" s="14"/>
      <c r="W710" s="14"/>
      <c r="AA710" s="14"/>
    </row>
    <row r="711" ht="15.75" customHeight="1">
      <c r="F711" s="14"/>
      <c r="K711" s="14"/>
      <c r="L711" s="14"/>
      <c r="P711" s="14"/>
      <c r="T711" s="14"/>
      <c r="U711" s="14"/>
      <c r="V711" s="14"/>
      <c r="W711" s="14"/>
      <c r="AA711" s="14"/>
    </row>
    <row r="712" ht="15.75" customHeight="1">
      <c r="F712" s="14"/>
      <c r="K712" s="14"/>
      <c r="L712" s="14"/>
      <c r="P712" s="14"/>
      <c r="T712" s="14"/>
      <c r="U712" s="14"/>
      <c r="V712" s="14"/>
      <c r="W712" s="14"/>
      <c r="AA712" s="14"/>
    </row>
    <row r="713" ht="15.75" customHeight="1">
      <c r="F713" s="14"/>
      <c r="K713" s="14"/>
      <c r="L713" s="14"/>
      <c r="P713" s="14"/>
      <c r="T713" s="14"/>
      <c r="U713" s="14"/>
      <c r="V713" s="14"/>
      <c r="W713" s="14"/>
      <c r="AA713" s="14"/>
    </row>
    <row r="714" ht="15.75" customHeight="1">
      <c r="F714" s="14"/>
      <c r="K714" s="14"/>
      <c r="L714" s="14"/>
      <c r="P714" s="14"/>
      <c r="T714" s="14"/>
      <c r="U714" s="14"/>
      <c r="V714" s="14"/>
      <c r="W714" s="14"/>
      <c r="AA714" s="14"/>
    </row>
    <row r="715" ht="15.75" customHeight="1">
      <c r="F715" s="14"/>
      <c r="K715" s="14"/>
      <c r="L715" s="14"/>
      <c r="P715" s="14"/>
      <c r="T715" s="14"/>
      <c r="U715" s="14"/>
      <c r="V715" s="14"/>
      <c r="W715" s="14"/>
      <c r="AA715" s="14"/>
    </row>
    <row r="716" ht="15.75" customHeight="1">
      <c r="F716" s="14"/>
      <c r="K716" s="14"/>
      <c r="L716" s="14"/>
      <c r="P716" s="14"/>
      <c r="T716" s="14"/>
      <c r="U716" s="14"/>
      <c r="V716" s="14"/>
      <c r="W716" s="14"/>
      <c r="AA716" s="14"/>
    </row>
    <row r="717" ht="15.75" customHeight="1">
      <c r="F717" s="14"/>
      <c r="K717" s="14"/>
      <c r="L717" s="14"/>
      <c r="P717" s="14"/>
      <c r="T717" s="14"/>
      <c r="U717" s="14"/>
      <c r="V717" s="14"/>
      <c r="W717" s="14"/>
      <c r="AA717" s="14"/>
    </row>
    <row r="718" ht="15.75" customHeight="1">
      <c r="F718" s="14"/>
      <c r="K718" s="14"/>
      <c r="L718" s="14"/>
      <c r="P718" s="14"/>
      <c r="T718" s="14"/>
      <c r="U718" s="14"/>
      <c r="V718" s="14"/>
      <c r="W718" s="14"/>
      <c r="AA718" s="14"/>
    </row>
    <row r="719" ht="15.75" customHeight="1">
      <c r="F719" s="14"/>
      <c r="K719" s="14"/>
      <c r="L719" s="14"/>
      <c r="P719" s="14"/>
      <c r="T719" s="14"/>
      <c r="U719" s="14"/>
      <c r="V719" s="14"/>
      <c r="W719" s="14"/>
      <c r="AA719" s="14"/>
    </row>
    <row r="720" ht="15.75" customHeight="1">
      <c r="F720" s="14"/>
      <c r="K720" s="14"/>
      <c r="L720" s="14"/>
      <c r="P720" s="14"/>
      <c r="T720" s="14"/>
      <c r="U720" s="14"/>
      <c r="V720" s="14"/>
      <c r="W720" s="14"/>
      <c r="AA720" s="14"/>
    </row>
    <row r="721" ht="15.75" customHeight="1">
      <c r="F721" s="14"/>
      <c r="K721" s="14"/>
      <c r="L721" s="14"/>
      <c r="P721" s="14"/>
      <c r="T721" s="14"/>
      <c r="U721" s="14"/>
      <c r="V721" s="14"/>
      <c r="W721" s="14"/>
      <c r="AA721" s="14"/>
    </row>
    <row r="722" ht="15.75" customHeight="1">
      <c r="F722" s="14"/>
      <c r="K722" s="14"/>
      <c r="L722" s="14"/>
      <c r="P722" s="14"/>
      <c r="T722" s="14"/>
      <c r="U722" s="14"/>
      <c r="V722" s="14"/>
      <c r="W722" s="14"/>
      <c r="AA722" s="14"/>
    </row>
    <row r="723" ht="15.75" customHeight="1">
      <c r="F723" s="14"/>
      <c r="K723" s="14"/>
      <c r="L723" s="14"/>
      <c r="P723" s="14"/>
      <c r="T723" s="14"/>
      <c r="U723" s="14"/>
      <c r="V723" s="14"/>
      <c r="W723" s="14"/>
      <c r="AA723" s="14"/>
    </row>
    <row r="724" ht="15.75" customHeight="1">
      <c r="F724" s="14"/>
      <c r="K724" s="14"/>
      <c r="L724" s="14"/>
      <c r="P724" s="14"/>
      <c r="T724" s="14"/>
      <c r="U724" s="14"/>
      <c r="V724" s="14"/>
      <c r="W724" s="14"/>
      <c r="AA724" s="14"/>
    </row>
    <row r="725" ht="15.75" customHeight="1">
      <c r="F725" s="14"/>
      <c r="K725" s="14"/>
      <c r="L725" s="14"/>
      <c r="P725" s="14"/>
      <c r="T725" s="14"/>
      <c r="U725" s="14"/>
      <c r="V725" s="14"/>
      <c r="W725" s="14"/>
      <c r="AA725" s="14"/>
    </row>
    <row r="726" ht="15.75" customHeight="1">
      <c r="F726" s="14"/>
      <c r="K726" s="14"/>
      <c r="L726" s="14"/>
      <c r="P726" s="14"/>
      <c r="T726" s="14"/>
      <c r="U726" s="14"/>
      <c r="V726" s="14"/>
      <c r="W726" s="14"/>
      <c r="AA726" s="14"/>
    </row>
    <row r="727" ht="15.75" customHeight="1">
      <c r="F727" s="14"/>
      <c r="K727" s="14"/>
      <c r="L727" s="14"/>
      <c r="P727" s="14"/>
      <c r="T727" s="14"/>
      <c r="U727" s="14"/>
      <c r="V727" s="14"/>
      <c r="W727" s="14"/>
      <c r="AA727" s="14"/>
    </row>
    <row r="728" ht="15.75" customHeight="1">
      <c r="F728" s="14"/>
      <c r="K728" s="14"/>
      <c r="L728" s="14"/>
      <c r="P728" s="14"/>
      <c r="T728" s="14"/>
      <c r="U728" s="14"/>
      <c r="V728" s="14"/>
      <c r="W728" s="14"/>
      <c r="AA728" s="14"/>
    </row>
    <row r="729" ht="15.75" customHeight="1">
      <c r="F729" s="14"/>
      <c r="K729" s="14"/>
      <c r="L729" s="14"/>
      <c r="P729" s="14"/>
      <c r="T729" s="14"/>
      <c r="U729" s="14"/>
      <c r="V729" s="14"/>
      <c r="W729" s="14"/>
      <c r="AA729" s="14"/>
    </row>
    <row r="730" ht="15.75" customHeight="1">
      <c r="F730" s="14"/>
      <c r="K730" s="14"/>
      <c r="L730" s="14"/>
      <c r="P730" s="14"/>
      <c r="T730" s="14"/>
      <c r="U730" s="14"/>
      <c r="V730" s="14"/>
      <c r="W730" s="14"/>
      <c r="AA730" s="14"/>
    </row>
    <row r="731" ht="15.75" customHeight="1">
      <c r="F731" s="14"/>
      <c r="K731" s="14"/>
      <c r="L731" s="14"/>
      <c r="P731" s="14"/>
      <c r="T731" s="14"/>
      <c r="U731" s="14"/>
      <c r="V731" s="14"/>
      <c r="W731" s="14"/>
      <c r="AA731" s="14"/>
    </row>
    <row r="732" ht="15.75" customHeight="1">
      <c r="F732" s="14"/>
      <c r="K732" s="14"/>
      <c r="L732" s="14"/>
      <c r="P732" s="14"/>
      <c r="T732" s="14"/>
      <c r="U732" s="14"/>
      <c r="V732" s="14"/>
      <c r="W732" s="14"/>
      <c r="AA732" s="14"/>
    </row>
    <row r="733" ht="15.75" customHeight="1">
      <c r="F733" s="14"/>
      <c r="K733" s="14"/>
      <c r="L733" s="14"/>
      <c r="P733" s="14"/>
      <c r="T733" s="14"/>
      <c r="U733" s="14"/>
      <c r="V733" s="14"/>
      <c r="W733" s="14"/>
      <c r="AA733" s="14"/>
    </row>
    <row r="734" ht="15.75" customHeight="1">
      <c r="F734" s="14"/>
      <c r="K734" s="14"/>
      <c r="L734" s="14"/>
      <c r="P734" s="14"/>
      <c r="T734" s="14"/>
      <c r="U734" s="14"/>
      <c r="V734" s="14"/>
      <c r="W734" s="14"/>
      <c r="AA734" s="14"/>
    </row>
    <row r="735" ht="15.75" customHeight="1">
      <c r="F735" s="14"/>
      <c r="K735" s="14"/>
      <c r="L735" s="14"/>
      <c r="P735" s="14"/>
      <c r="T735" s="14"/>
      <c r="U735" s="14"/>
      <c r="V735" s="14"/>
      <c r="W735" s="14"/>
      <c r="AA735" s="14"/>
    </row>
    <row r="736" ht="15.75" customHeight="1">
      <c r="F736" s="14"/>
      <c r="K736" s="14"/>
      <c r="L736" s="14"/>
      <c r="P736" s="14"/>
      <c r="T736" s="14"/>
      <c r="U736" s="14"/>
      <c r="V736" s="14"/>
      <c r="W736" s="14"/>
      <c r="AA736" s="14"/>
    </row>
    <row r="737" ht="15.75" customHeight="1">
      <c r="F737" s="14"/>
      <c r="K737" s="14"/>
      <c r="L737" s="14"/>
      <c r="P737" s="14"/>
      <c r="T737" s="14"/>
      <c r="U737" s="14"/>
      <c r="V737" s="14"/>
      <c r="W737" s="14"/>
      <c r="AA737" s="14"/>
    </row>
    <row r="738" ht="15.75" customHeight="1">
      <c r="F738" s="14"/>
      <c r="K738" s="14"/>
      <c r="L738" s="14"/>
      <c r="P738" s="14"/>
      <c r="T738" s="14"/>
      <c r="U738" s="14"/>
      <c r="V738" s="14"/>
      <c r="W738" s="14"/>
      <c r="AA738" s="14"/>
    </row>
    <row r="739" ht="15.75" customHeight="1">
      <c r="F739" s="14"/>
      <c r="K739" s="14"/>
      <c r="L739" s="14"/>
      <c r="P739" s="14"/>
      <c r="T739" s="14"/>
      <c r="U739" s="14"/>
      <c r="V739" s="14"/>
      <c r="W739" s="14"/>
      <c r="AA739" s="14"/>
    </row>
    <row r="740" ht="15.75" customHeight="1">
      <c r="F740" s="14"/>
      <c r="K740" s="14"/>
      <c r="L740" s="14"/>
      <c r="P740" s="14"/>
      <c r="T740" s="14"/>
      <c r="U740" s="14"/>
      <c r="V740" s="14"/>
      <c r="W740" s="14"/>
      <c r="AA740" s="14"/>
    </row>
    <row r="741" ht="15.75" customHeight="1">
      <c r="F741" s="14"/>
      <c r="K741" s="14"/>
      <c r="L741" s="14"/>
      <c r="P741" s="14"/>
      <c r="T741" s="14"/>
      <c r="U741" s="14"/>
      <c r="V741" s="14"/>
      <c r="W741" s="14"/>
      <c r="AA741" s="14"/>
    </row>
    <row r="742" ht="15.75" customHeight="1">
      <c r="F742" s="14"/>
      <c r="K742" s="14"/>
      <c r="L742" s="14"/>
      <c r="P742" s="14"/>
      <c r="T742" s="14"/>
      <c r="U742" s="14"/>
      <c r="V742" s="14"/>
      <c r="W742" s="14"/>
      <c r="AA742" s="14"/>
    </row>
    <row r="743" ht="15.75" customHeight="1">
      <c r="F743" s="14"/>
      <c r="K743" s="14"/>
      <c r="L743" s="14"/>
      <c r="P743" s="14"/>
      <c r="T743" s="14"/>
      <c r="U743" s="14"/>
      <c r="V743" s="14"/>
      <c r="W743" s="14"/>
      <c r="AA743" s="14"/>
    </row>
    <row r="744" ht="15.75" customHeight="1">
      <c r="F744" s="14"/>
      <c r="K744" s="14"/>
      <c r="L744" s="14"/>
      <c r="P744" s="14"/>
      <c r="T744" s="14"/>
      <c r="U744" s="14"/>
      <c r="V744" s="14"/>
      <c r="W744" s="14"/>
      <c r="AA744" s="14"/>
    </row>
    <row r="745" ht="15.75" customHeight="1">
      <c r="F745" s="14"/>
      <c r="K745" s="14"/>
      <c r="L745" s="14"/>
      <c r="P745" s="14"/>
      <c r="T745" s="14"/>
      <c r="U745" s="14"/>
      <c r="V745" s="14"/>
      <c r="W745" s="14"/>
      <c r="AA745" s="14"/>
    </row>
    <row r="746" ht="15.75" customHeight="1">
      <c r="F746" s="14"/>
      <c r="K746" s="14"/>
      <c r="L746" s="14"/>
      <c r="P746" s="14"/>
      <c r="T746" s="14"/>
      <c r="U746" s="14"/>
      <c r="V746" s="14"/>
      <c r="W746" s="14"/>
      <c r="AA746" s="14"/>
    </row>
    <row r="747" ht="15.75" customHeight="1">
      <c r="F747" s="14"/>
      <c r="K747" s="14"/>
      <c r="L747" s="14"/>
      <c r="P747" s="14"/>
      <c r="T747" s="14"/>
      <c r="U747" s="14"/>
      <c r="V747" s="14"/>
      <c r="W747" s="14"/>
      <c r="AA747" s="14"/>
    </row>
    <row r="748" ht="15.75" customHeight="1">
      <c r="F748" s="14"/>
      <c r="K748" s="14"/>
      <c r="L748" s="14"/>
      <c r="P748" s="14"/>
      <c r="T748" s="14"/>
      <c r="U748" s="14"/>
      <c r="V748" s="14"/>
      <c r="W748" s="14"/>
      <c r="AA748" s="14"/>
    </row>
    <row r="749" ht="15.75" customHeight="1">
      <c r="F749" s="14"/>
      <c r="K749" s="14"/>
      <c r="L749" s="14"/>
      <c r="P749" s="14"/>
      <c r="T749" s="14"/>
      <c r="U749" s="14"/>
      <c r="V749" s="14"/>
      <c r="W749" s="14"/>
      <c r="AA749" s="14"/>
    </row>
    <row r="750" ht="15.75" customHeight="1">
      <c r="F750" s="14"/>
      <c r="K750" s="14"/>
      <c r="L750" s="14"/>
      <c r="P750" s="14"/>
      <c r="T750" s="14"/>
      <c r="U750" s="14"/>
      <c r="V750" s="14"/>
      <c r="W750" s="14"/>
      <c r="AA750" s="14"/>
    </row>
    <row r="751" ht="15.75" customHeight="1">
      <c r="F751" s="14"/>
      <c r="K751" s="14"/>
      <c r="L751" s="14"/>
      <c r="P751" s="14"/>
      <c r="T751" s="14"/>
      <c r="U751" s="14"/>
      <c r="V751" s="14"/>
      <c r="W751" s="14"/>
      <c r="AA751" s="14"/>
    </row>
    <row r="752" ht="15.75" customHeight="1">
      <c r="F752" s="14"/>
      <c r="K752" s="14"/>
      <c r="L752" s="14"/>
      <c r="P752" s="14"/>
      <c r="T752" s="14"/>
      <c r="U752" s="14"/>
      <c r="V752" s="14"/>
      <c r="W752" s="14"/>
      <c r="AA752" s="14"/>
    </row>
    <row r="753" ht="15.75" customHeight="1">
      <c r="F753" s="14"/>
      <c r="K753" s="14"/>
      <c r="L753" s="14"/>
      <c r="P753" s="14"/>
      <c r="T753" s="14"/>
      <c r="U753" s="14"/>
      <c r="V753" s="14"/>
      <c r="W753" s="14"/>
      <c r="AA753" s="14"/>
    </row>
    <row r="754" ht="15.75" customHeight="1">
      <c r="F754" s="14"/>
      <c r="K754" s="14"/>
      <c r="L754" s="14"/>
      <c r="P754" s="14"/>
      <c r="T754" s="14"/>
      <c r="U754" s="14"/>
      <c r="V754" s="14"/>
      <c r="W754" s="14"/>
      <c r="AA754" s="14"/>
    </row>
    <row r="755" ht="15.75" customHeight="1">
      <c r="F755" s="14"/>
      <c r="K755" s="14"/>
      <c r="L755" s="14"/>
      <c r="P755" s="14"/>
      <c r="T755" s="14"/>
      <c r="U755" s="14"/>
      <c r="V755" s="14"/>
      <c r="W755" s="14"/>
      <c r="AA755" s="14"/>
    </row>
    <row r="756" ht="15.75" customHeight="1">
      <c r="F756" s="14"/>
      <c r="K756" s="14"/>
      <c r="L756" s="14"/>
      <c r="P756" s="14"/>
      <c r="T756" s="14"/>
      <c r="U756" s="14"/>
      <c r="V756" s="14"/>
      <c r="W756" s="14"/>
      <c r="AA756" s="14"/>
    </row>
    <row r="757" ht="15.75" customHeight="1">
      <c r="F757" s="14"/>
      <c r="K757" s="14"/>
      <c r="L757" s="14"/>
      <c r="P757" s="14"/>
      <c r="T757" s="14"/>
      <c r="U757" s="14"/>
      <c r="V757" s="14"/>
      <c r="W757" s="14"/>
      <c r="AA757" s="14"/>
    </row>
    <row r="758" ht="15.75" customHeight="1">
      <c r="F758" s="14"/>
      <c r="K758" s="14"/>
      <c r="L758" s="14"/>
      <c r="P758" s="14"/>
      <c r="T758" s="14"/>
      <c r="U758" s="14"/>
      <c r="V758" s="14"/>
      <c r="W758" s="14"/>
      <c r="AA758" s="14"/>
    </row>
    <row r="759" ht="15.75" customHeight="1">
      <c r="F759" s="14"/>
      <c r="K759" s="14"/>
      <c r="L759" s="14"/>
      <c r="P759" s="14"/>
      <c r="T759" s="14"/>
      <c r="U759" s="14"/>
      <c r="V759" s="14"/>
      <c r="W759" s="14"/>
      <c r="AA759" s="14"/>
    </row>
    <row r="760" ht="15.75" customHeight="1">
      <c r="F760" s="14"/>
      <c r="K760" s="14"/>
      <c r="L760" s="14"/>
      <c r="P760" s="14"/>
      <c r="T760" s="14"/>
      <c r="U760" s="14"/>
      <c r="V760" s="14"/>
      <c r="W760" s="14"/>
      <c r="AA760" s="14"/>
    </row>
    <row r="761" ht="15.75" customHeight="1">
      <c r="F761" s="14"/>
      <c r="K761" s="14"/>
      <c r="L761" s="14"/>
      <c r="P761" s="14"/>
      <c r="T761" s="14"/>
      <c r="U761" s="14"/>
      <c r="V761" s="14"/>
      <c r="W761" s="14"/>
      <c r="AA761" s="14"/>
    </row>
    <row r="762" ht="15.75" customHeight="1">
      <c r="F762" s="14"/>
      <c r="K762" s="14"/>
      <c r="L762" s="14"/>
      <c r="P762" s="14"/>
      <c r="T762" s="14"/>
      <c r="U762" s="14"/>
      <c r="V762" s="14"/>
      <c r="W762" s="14"/>
      <c r="AA762" s="14"/>
    </row>
    <row r="763" ht="15.75" customHeight="1">
      <c r="F763" s="14"/>
      <c r="K763" s="14"/>
      <c r="L763" s="14"/>
      <c r="P763" s="14"/>
      <c r="T763" s="14"/>
      <c r="U763" s="14"/>
      <c r="V763" s="14"/>
      <c r="W763" s="14"/>
      <c r="AA763" s="14"/>
    </row>
    <row r="764" ht="15.75" customHeight="1">
      <c r="F764" s="14"/>
      <c r="K764" s="14"/>
      <c r="L764" s="14"/>
      <c r="P764" s="14"/>
      <c r="T764" s="14"/>
      <c r="U764" s="14"/>
      <c r="V764" s="14"/>
      <c r="W764" s="14"/>
      <c r="AA764" s="14"/>
    </row>
    <row r="765" ht="15.75" customHeight="1">
      <c r="F765" s="14"/>
      <c r="K765" s="14"/>
      <c r="L765" s="14"/>
      <c r="P765" s="14"/>
      <c r="T765" s="14"/>
      <c r="U765" s="14"/>
      <c r="V765" s="14"/>
      <c r="W765" s="14"/>
      <c r="AA765" s="14"/>
    </row>
    <row r="766" ht="15.75" customHeight="1">
      <c r="F766" s="14"/>
      <c r="K766" s="14"/>
      <c r="L766" s="14"/>
      <c r="P766" s="14"/>
      <c r="T766" s="14"/>
      <c r="U766" s="14"/>
      <c r="V766" s="14"/>
      <c r="W766" s="14"/>
      <c r="AA766" s="14"/>
    </row>
    <row r="767" ht="15.75" customHeight="1">
      <c r="F767" s="14"/>
      <c r="K767" s="14"/>
      <c r="L767" s="14"/>
      <c r="P767" s="14"/>
      <c r="T767" s="14"/>
      <c r="U767" s="14"/>
      <c r="V767" s="14"/>
      <c r="W767" s="14"/>
      <c r="AA767" s="14"/>
    </row>
    <row r="768" ht="15.75" customHeight="1">
      <c r="F768" s="14"/>
      <c r="K768" s="14"/>
      <c r="L768" s="14"/>
      <c r="P768" s="14"/>
      <c r="T768" s="14"/>
      <c r="U768" s="14"/>
      <c r="V768" s="14"/>
      <c r="W768" s="14"/>
      <c r="AA768" s="14"/>
    </row>
    <row r="769" ht="15.75" customHeight="1">
      <c r="F769" s="14"/>
      <c r="K769" s="14"/>
      <c r="L769" s="14"/>
      <c r="P769" s="14"/>
      <c r="T769" s="14"/>
      <c r="U769" s="14"/>
      <c r="V769" s="14"/>
      <c r="W769" s="14"/>
      <c r="AA769" s="14"/>
    </row>
    <row r="770" ht="15.75" customHeight="1">
      <c r="F770" s="14"/>
      <c r="K770" s="14"/>
      <c r="L770" s="14"/>
      <c r="P770" s="14"/>
      <c r="T770" s="14"/>
      <c r="U770" s="14"/>
      <c r="V770" s="14"/>
      <c r="W770" s="14"/>
      <c r="AA770" s="14"/>
    </row>
    <row r="771" ht="15.75" customHeight="1">
      <c r="F771" s="14"/>
      <c r="K771" s="14"/>
      <c r="L771" s="14"/>
      <c r="P771" s="14"/>
      <c r="T771" s="14"/>
      <c r="U771" s="14"/>
      <c r="V771" s="14"/>
      <c r="W771" s="14"/>
      <c r="AA771" s="14"/>
    </row>
    <row r="772" ht="15.75" customHeight="1">
      <c r="F772" s="14"/>
      <c r="K772" s="14"/>
      <c r="L772" s="14"/>
      <c r="P772" s="14"/>
      <c r="T772" s="14"/>
      <c r="U772" s="14"/>
      <c r="V772" s="14"/>
      <c r="W772" s="14"/>
      <c r="AA772" s="14"/>
    </row>
    <row r="773" ht="15.75" customHeight="1">
      <c r="F773" s="14"/>
      <c r="K773" s="14"/>
      <c r="L773" s="14"/>
      <c r="P773" s="14"/>
      <c r="T773" s="14"/>
      <c r="U773" s="14"/>
      <c r="V773" s="14"/>
      <c r="W773" s="14"/>
      <c r="AA773" s="14"/>
    </row>
    <row r="774" ht="15.75" customHeight="1">
      <c r="F774" s="14"/>
      <c r="K774" s="14"/>
      <c r="L774" s="14"/>
      <c r="P774" s="14"/>
      <c r="T774" s="14"/>
      <c r="U774" s="14"/>
      <c r="V774" s="14"/>
      <c r="W774" s="14"/>
      <c r="AA774" s="14"/>
    </row>
    <row r="775" ht="15.75" customHeight="1">
      <c r="F775" s="14"/>
      <c r="K775" s="14"/>
      <c r="L775" s="14"/>
      <c r="P775" s="14"/>
      <c r="T775" s="14"/>
      <c r="U775" s="14"/>
      <c r="V775" s="14"/>
      <c r="W775" s="14"/>
      <c r="AA775" s="14"/>
    </row>
    <row r="776" ht="15.75" customHeight="1">
      <c r="F776" s="14"/>
      <c r="K776" s="14"/>
      <c r="L776" s="14"/>
      <c r="P776" s="14"/>
      <c r="T776" s="14"/>
      <c r="U776" s="14"/>
      <c r="V776" s="14"/>
      <c r="W776" s="14"/>
      <c r="AA776" s="14"/>
    </row>
    <row r="777" ht="15.75" customHeight="1">
      <c r="F777" s="14"/>
      <c r="K777" s="14"/>
      <c r="L777" s="14"/>
      <c r="P777" s="14"/>
      <c r="T777" s="14"/>
      <c r="U777" s="14"/>
      <c r="V777" s="14"/>
      <c r="W777" s="14"/>
      <c r="AA777" s="14"/>
    </row>
    <row r="778" ht="15.75" customHeight="1">
      <c r="F778" s="14"/>
      <c r="K778" s="14"/>
      <c r="L778" s="14"/>
      <c r="P778" s="14"/>
      <c r="T778" s="14"/>
      <c r="U778" s="14"/>
      <c r="V778" s="14"/>
      <c r="W778" s="14"/>
      <c r="AA778" s="14"/>
    </row>
    <row r="779" ht="15.75" customHeight="1">
      <c r="F779" s="14"/>
      <c r="K779" s="14"/>
      <c r="L779" s="14"/>
      <c r="P779" s="14"/>
      <c r="T779" s="14"/>
      <c r="U779" s="14"/>
      <c r="V779" s="14"/>
      <c r="W779" s="14"/>
      <c r="AA779" s="14"/>
    </row>
    <row r="780" ht="15.75" customHeight="1">
      <c r="F780" s="14"/>
      <c r="K780" s="14"/>
      <c r="L780" s="14"/>
      <c r="P780" s="14"/>
      <c r="T780" s="14"/>
      <c r="U780" s="14"/>
      <c r="V780" s="14"/>
      <c r="W780" s="14"/>
      <c r="AA780" s="14"/>
    </row>
    <row r="781" ht="15.75" customHeight="1">
      <c r="F781" s="14"/>
      <c r="K781" s="14"/>
      <c r="L781" s="14"/>
      <c r="P781" s="14"/>
      <c r="T781" s="14"/>
      <c r="U781" s="14"/>
      <c r="V781" s="14"/>
      <c r="W781" s="14"/>
      <c r="AA781" s="14"/>
    </row>
    <row r="782" ht="15.75" customHeight="1">
      <c r="F782" s="14"/>
      <c r="K782" s="14"/>
      <c r="L782" s="14"/>
      <c r="P782" s="14"/>
      <c r="T782" s="14"/>
      <c r="U782" s="14"/>
      <c r="V782" s="14"/>
      <c r="W782" s="14"/>
      <c r="AA782" s="14"/>
    </row>
    <row r="783" ht="15.75" customHeight="1">
      <c r="F783" s="14"/>
      <c r="K783" s="14"/>
      <c r="L783" s="14"/>
      <c r="P783" s="14"/>
      <c r="T783" s="14"/>
      <c r="U783" s="14"/>
      <c r="V783" s="14"/>
      <c r="W783" s="14"/>
      <c r="AA783" s="14"/>
    </row>
    <row r="784" ht="15.75" customHeight="1">
      <c r="F784" s="14"/>
      <c r="K784" s="14"/>
      <c r="L784" s="14"/>
      <c r="P784" s="14"/>
      <c r="T784" s="14"/>
      <c r="U784" s="14"/>
      <c r="V784" s="14"/>
      <c r="W784" s="14"/>
      <c r="AA784" s="14"/>
    </row>
    <row r="785" ht="15.75" customHeight="1">
      <c r="F785" s="14"/>
      <c r="K785" s="14"/>
      <c r="L785" s="14"/>
      <c r="P785" s="14"/>
      <c r="T785" s="14"/>
      <c r="U785" s="14"/>
      <c r="V785" s="14"/>
      <c r="W785" s="14"/>
      <c r="AA785" s="14"/>
    </row>
    <row r="786" ht="15.75" customHeight="1">
      <c r="F786" s="14"/>
      <c r="K786" s="14"/>
      <c r="L786" s="14"/>
      <c r="P786" s="14"/>
      <c r="T786" s="14"/>
      <c r="U786" s="14"/>
      <c r="V786" s="14"/>
      <c r="W786" s="14"/>
      <c r="AA786" s="14"/>
    </row>
    <row r="787" ht="15.75" customHeight="1">
      <c r="F787" s="14"/>
      <c r="K787" s="14"/>
      <c r="L787" s="14"/>
      <c r="P787" s="14"/>
      <c r="T787" s="14"/>
      <c r="U787" s="14"/>
      <c r="V787" s="14"/>
      <c r="W787" s="14"/>
      <c r="AA787" s="14"/>
    </row>
    <row r="788" ht="15.75" customHeight="1">
      <c r="F788" s="14"/>
      <c r="K788" s="14"/>
      <c r="L788" s="14"/>
      <c r="P788" s="14"/>
      <c r="T788" s="14"/>
      <c r="U788" s="14"/>
      <c r="V788" s="14"/>
      <c r="W788" s="14"/>
      <c r="AA788" s="14"/>
    </row>
    <row r="789" ht="15.75" customHeight="1">
      <c r="F789" s="14"/>
      <c r="K789" s="14"/>
      <c r="L789" s="14"/>
      <c r="P789" s="14"/>
      <c r="T789" s="14"/>
      <c r="U789" s="14"/>
      <c r="V789" s="14"/>
      <c r="W789" s="14"/>
      <c r="AA789" s="14"/>
    </row>
    <row r="790" ht="15.75" customHeight="1">
      <c r="F790" s="14"/>
      <c r="K790" s="14"/>
      <c r="L790" s="14"/>
      <c r="P790" s="14"/>
      <c r="T790" s="14"/>
      <c r="U790" s="14"/>
      <c r="V790" s="14"/>
      <c r="W790" s="14"/>
      <c r="AA790" s="14"/>
    </row>
    <row r="791" ht="15.75" customHeight="1">
      <c r="F791" s="14"/>
      <c r="K791" s="14"/>
      <c r="L791" s="14"/>
      <c r="P791" s="14"/>
      <c r="T791" s="14"/>
      <c r="U791" s="14"/>
      <c r="V791" s="14"/>
      <c r="W791" s="14"/>
      <c r="AA791" s="14"/>
    </row>
    <row r="792" ht="15.75" customHeight="1">
      <c r="F792" s="14"/>
      <c r="K792" s="14"/>
      <c r="L792" s="14"/>
      <c r="P792" s="14"/>
      <c r="T792" s="14"/>
      <c r="U792" s="14"/>
      <c r="V792" s="14"/>
      <c r="W792" s="14"/>
      <c r="AA792" s="14"/>
    </row>
    <row r="793" ht="15.75" customHeight="1">
      <c r="F793" s="14"/>
      <c r="K793" s="14"/>
      <c r="L793" s="14"/>
      <c r="P793" s="14"/>
      <c r="T793" s="14"/>
      <c r="U793" s="14"/>
      <c r="V793" s="14"/>
      <c r="W793" s="14"/>
      <c r="AA793" s="14"/>
    </row>
    <row r="794" ht="15.75" customHeight="1">
      <c r="F794" s="14"/>
      <c r="K794" s="14"/>
      <c r="L794" s="14"/>
      <c r="P794" s="14"/>
      <c r="T794" s="14"/>
      <c r="U794" s="14"/>
      <c r="V794" s="14"/>
      <c r="W794" s="14"/>
      <c r="AA794" s="14"/>
    </row>
    <row r="795" ht="15.75" customHeight="1">
      <c r="F795" s="14"/>
      <c r="K795" s="14"/>
      <c r="L795" s="14"/>
      <c r="P795" s="14"/>
      <c r="T795" s="14"/>
      <c r="U795" s="14"/>
      <c r="V795" s="14"/>
      <c r="W795" s="14"/>
      <c r="AA795" s="14"/>
    </row>
    <row r="796" ht="15.75" customHeight="1">
      <c r="F796" s="14"/>
      <c r="K796" s="14"/>
      <c r="L796" s="14"/>
      <c r="P796" s="14"/>
      <c r="T796" s="14"/>
      <c r="U796" s="14"/>
      <c r="V796" s="14"/>
      <c r="W796" s="14"/>
      <c r="AA796" s="14"/>
    </row>
    <row r="797" ht="15.75" customHeight="1">
      <c r="F797" s="14"/>
      <c r="K797" s="14"/>
      <c r="L797" s="14"/>
      <c r="P797" s="14"/>
      <c r="T797" s="14"/>
      <c r="U797" s="14"/>
      <c r="V797" s="14"/>
      <c r="W797" s="14"/>
      <c r="AA797" s="14"/>
    </row>
    <row r="798" ht="15.75" customHeight="1">
      <c r="F798" s="14"/>
      <c r="K798" s="14"/>
      <c r="L798" s="14"/>
      <c r="P798" s="14"/>
      <c r="T798" s="14"/>
      <c r="U798" s="14"/>
      <c r="V798" s="14"/>
      <c r="W798" s="14"/>
      <c r="AA798" s="14"/>
    </row>
    <row r="799" ht="15.75" customHeight="1">
      <c r="F799" s="14"/>
      <c r="K799" s="14"/>
      <c r="L799" s="14"/>
      <c r="P799" s="14"/>
      <c r="T799" s="14"/>
      <c r="U799" s="14"/>
      <c r="V799" s="14"/>
      <c r="W799" s="14"/>
      <c r="AA799" s="14"/>
    </row>
    <row r="800" ht="15.75" customHeight="1">
      <c r="F800" s="14"/>
      <c r="K800" s="14"/>
      <c r="L800" s="14"/>
      <c r="P800" s="14"/>
      <c r="T800" s="14"/>
      <c r="U800" s="14"/>
      <c r="V800" s="14"/>
      <c r="W800" s="14"/>
      <c r="AA800" s="14"/>
    </row>
    <row r="801" ht="15.75" customHeight="1">
      <c r="F801" s="14"/>
      <c r="K801" s="14"/>
      <c r="L801" s="14"/>
      <c r="P801" s="14"/>
      <c r="T801" s="14"/>
      <c r="U801" s="14"/>
      <c r="V801" s="14"/>
      <c r="W801" s="14"/>
      <c r="AA801" s="14"/>
    </row>
    <row r="802" ht="15.75" customHeight="1">
      <c r="F802" s="14"/>
      <c r="K802" s="14"/>
      <c r="L802" s="14"/>
      <c r="P802" s="14"/>
      <c r="T802" s="14"/>
      <c r="U802" s="14"/>
      <c r="V802" s="14"/>
      <c r="W802" s="14"/>
      <c r="AA802" s="14"/>
    </row>
    <row r="803" ht="15.75" customHeight="1">
      <c r="F803" s="14"/>
      <c r="K803" s="14"/>
      <c r="L803" s="14"/>
      <c r="P803" s="14"/>
      <c r="T803" s="14"/>
      <c r="U803" s="14"/>
      <c r="V803" s="14"/>
      <c r="W803" s="14"/>
      <c r="AA803" s="14"/>
    </row>
    <row r="804" ht="15.75" customHeight="1">
      <c r="F804" s="14"/>
      <c r="K804" s="14"/>
      <c r="L804" s="14"/>
      <c r="P804" s="14"/>
      <c r="T804" s="14"/>
      <c r="U804" s="14"/>
      <c r="V804" s="14"/>
      <c r="W804" s="14"/>
      <c r="AA804" s="14"/>
    </row>
    <row r="805" ht="15.75" customHeight="1">
      <c r="F805" s="14"/>
      <c r="K805" s="14"/>
      <c r="L805" s="14"/>
      <c r="P805" s="14"/>
      <c r="T805" s="14"/>
      <c r="U805" s="14"/>
      <c r="V805" s="14"/>
      <c r="W805" s="14"/>
      <c r="AA805" s="14"/>
    </row>
    <row r="806" ht="15.75" customHeight="1">
      <c r="F806" s="14"/>
      <c r="K806" s="14"/>
      <c r="L806" s="14"/>
      <c r="P806" s="14"/>
      <c r="T806" s="14"/>
      <c r="U806" s="14"/>
      <c r="V806" s="14"/>
      <c r="W806" s="14"/>
      <c r="AA806" s="14"/>
    </row>
    <row r="807" ht="15.75" customHeight="1">
      <c r="F807" s="14"/>
      <c r="K807" s="14"/>
      <c r="L807" s="14"/>
      <c r="P807" s="14"/>
      <c r="T807" s="14"/>
      <c r="U807" s="14"/>
      <c r="V807" s="14"/>
      <c r="W807" s="14"/>
      <c r="AA807" s="14"/>
    </row>
    <row r="808" ht="15.75" customHeight="1">
      <c r="F808" s="14"/>
      <c r="K808" s="14"/>
      <c r="L808" s="14"/>
      <c r="P808" s="14"/>
      <c r="T808" s="14"/>
      <c r="U808" s="14"/>
      <c r="V808" s="14"/>
      <c r="W808" s="14"/>
      <c r="AA808" s="14"/>
    </row>
    <row r="809" ht="15.75" customHeight="1">
      <c r="F809" s="14"/>
      <c r="K809" s="14"/>
      <c r="L809" s="14"/>
      <c r="P809" s="14"/>
      <c r="T809" s="14"/>
      <c r="U809" s="14"/>
      <c r="V809" s="14"/>
      <c r="W809" s="14"/>
      <c r="AA809" s="14"/>
    </row>
    <row r="810" ht="15.75" customHeight="1">
      <c r="F810" s="14"/>
      <c r="K810" s="14"/>
      <c r="L810" s="14"/>
      <c r="P810" s="14"/>
      <c r="T810" s="14"/>
      <c r="U810" s="14"/>
      <c r="V810" s="14"/>
      <c r="W810" s="14"/>
      <c r="AA810" s="14"/>
    </row>
    <row r="811" ht="15.75" customHeight="1">
      <c r="F811" s="14"/>
      <c r="K811" s="14"/>
      <c r="L811" s="14"/>
      <c r="P811" s="14"/>
      <c r="T811" s="14"/>
      <c r="U811" s="14"/>
      <c r="V811" s="14"/>
      <c r="W811" s="14"/>
      <c r="AA811" s="14"/>
    </row>
    <row r="812" ht="15.75" customHeight="1">
      <c r="F812" s="14"/>
      <c r="K812" s="14"/>
      <c r="L812" s="14"/>
      <c r="P812" s="14"/>
      <c r="T812" s="14"/>
      <c r="U812" s="14"/>
      <c r="V812" s="14"/>
      <c r="W812" s="14"/>
      <c r="AA812" s="14"/>
    </row>
    <row r="813" ht="15.75" customHeight="1">
      <c r="F813" s="14"/>
      <c r="K813" s="14"/>
      <c r="L813" s="14"/>
      <c r="P813" s="14"/>
      <c r="T813" s="14"/>
      <c r="U813" s="14"/>
      <c r="V813" s="14"/>
      <c r="W813" s="14"/>
      <c r="AA813" s="14"/>
    </row>
    <row r="814" ht="15.75" customHeight="1">
      <c r="F814" s="14"/>
      <c r="K814" s="14"/>
      <c r="L814" s="14"/>
      <c r="P814" s="14"/>
      <c r="T814" s="14"/>
      <c r="U814" s="14"/>
      <c r="V814" s="14"/>
      <c r="W814" s="14"/>
      <c r="AA814" s="14"/>
    </row>
    <row r="815" ht="15.75" customHeight="1">
      <c r="F815" s="14"/>
      <c r="K815" s="14"/>
      <c r="L815" s="14"/>
      <c r="P815" s="14"/>
      <c r="T815" s="14"/>
      <c r="U815" s="14"/>
      <c r="V815" s="14"/>
      <c r="W815" s="14"/>
      <c r="AA815" s="14"/>
    </row>
    <row r="816" ht="15.75" customHeight="1">
      <c r="F816" s="14"/>
      <c r="K816" s="14"/>
      <c r="L816" s="14"/>
      <c r="P816" s="14"/>
      <c r="T816" s="14"/>
      <c r="U816" s="14"/>
      <c r="V816" s="14"/>
      <c r="W816" s="14"/>
      <c r="AA816" s="14"/>
    </row>
    <row r="817" ht="15.75" customHeight="1">
      <c r="F817" s="14"/>
      <c r="K817" s="14"/>
      <c r="L817" s="14"/>
      <c r="P817" s="14"/>
      <c r="T817" s="14"/>
      <c r="U817" s="14"/>
      <c r="V817" s="14"/>
      <c r="W817" s="14"/>
      <c r="AA817" s="14"/>
    </row>
    <row r="818" ht="15.75" customHeight="1">
      <c r="F818" s="14"/>
      <c r="K818" s="14"/>
      <c r="L818" s="14"/>
      <c r="P818" s="14"/>
      <c r="T818" s="14"/>
      <c r="U818" s="14"/>
      <c r="V818" s="14"/>
      <c r="W818" s="14"/>
      <c r="AA818" s="14"/>
    </row>
    <row r="819" ht="15.75" customHeight="1">
      <c r="F819" s="14"/>
      <c r="K819" s="14"/>
      <c r="L819" s="14"/>
      <c r="P819" s="14"/>
      <c r="T819" s="14"/>
      <c r="U819" s="14"/>
      <c r="V819" s="14"/>
      <c r="W819" s="14"/>
      <c r="AA819" s="14"/>
    </row>
    <row r="820" ht="15.75" customHeight="1">
      <c r="F820" s="14"/>
      <c r="K820" s="14"/>
      <c r="L820" s="14"/>
      <c r="P820" s="14"/>
      <c r="T820" s="14"/>
      <c r="U820" s="14"/>
      <c r="V820" s="14"/>
      <c r="W820" s="14"/>
      <c r="AA820" s="14"/>
    </row>
    <row r="821" ht="15.75" customHeight="1">
      <c r="F821" s="14"/>
      <c r="K821" s="14"/>
      <c r="L821" s="14"/>
      <c r="P821" s="14"/>
      <c r="T821" s="14"/>
      <c r="U821" s="14"/>
      <c r="V821" s="14"/>
      <c r="W821" s="14"/>
      <c r="AA821" s="14"/>
    </row>
    <row r="822" ht="15.75" customHeight="1">
      <c r="F822" s="14"/>
      <c r="K822" s="14"/>
      <c r="L822" s="14"/>
      <c r="P822" s="14"/>
      <c r="T822" s="14"/>
      <c r="U822" s="14"/>
      <c r="V822" s="14"/>
      <c r="W822" s="14"/>
      <c r="AA822" s="14"/>
    </row>
    <row r="823" ht="15.75" customHeight="1">
      <c r="F823" s="14"/>
      <c r="K823" s="14"/>
      <c r="L823" s="14"/>
      <c r="P823" s="14"/>
      <c r="T823" s="14"/>
      <c r="U823" s="14"/>
      <c r="V823" s="14"/>
      <c r="W823" s="14"/>
      <c r="AA823" s="14"/>
    </row>
    <row r="824" ht="15.75" customHeight="1">
      <c r="F824" s="14"/>
      <c r="K824" s="14"/>
      <c r="L824" s="14"/>
      <c r="P824" s="14"/>
      <c r="T824" s="14"/>
      <c r="U824" s="14"/>
      <c r="V824" s="14"/>
      <c r="W824" s="14"/>
      <c r="AA824" s="14"/>
    </row>
    <row r="825" ht="15.75" customHeight="1">
      <c r="F825" s="14"/>
      <c r="K825" s="14"/>
      <c r="L825" s="14"/>
      <c r="P825" s="14"/>
      <c r="T825" s="14"/>
      <c r="U825" s="14"/>
      <c r="V825" s="14"/>
      <c r="W825" s="14"/>
      <c r="AA825" s="14"/>
    </row>
    <row r="826" ht="15.75" customHeight="1">
      <c r="F826" s="14"/>
      <c r="K826" s="14"/>
      <c r="L826" s="14"/>
      <c r="P826" s="14"/>
      <c r="T826" s="14"/>
      <c r="U826" s="14"/>
      <c r="V826" s="14"/>
      <c r="W826" s="14"/>
      <c r="AA826" s="14"/>
    </row>
    <row r="827" ht="15.75" customHeight="1">
      <c r="F827" s="14"/>
      <c r="K827" s="14"/>
      <c r="L827" s="14"/>
      <c r="P827" s="14"/>
      <c r="T827" s="14"/>
      <c r="U827" s="14"/>
      <c r="V827" s="14"/>
      <c r="W827" s="14"/>
      <c r="AA827" s="14"/>
    </row>
    <row r="828" ht="15.75" customHeight="1">
      <c r="F828" s="14"/>
      <c r="K828" s="14"/>
      <c r="L828" s="14"/>
      <c r="P828" s="14"/>
      <c r="T828" s="14"/>
      <c r="U828" s="14"/>
      <c r="V828" s="14"/>
      <c r="W828" s="14"/>
      <c r="AA828" s="14"/>
    </row>
    <row r="829" ht="15.75" customHeight="1">
      <c r="F829" s="14"/>
      <c r="K829" s="14"/>
      <c r="L829" s="14"/>
      <c r="P829" s="14"/>
      <c r="T829" s="14"/>
      <c r="U829" s="14"/>
      <c r="V829" s="14"/>
      <c r="W829" s="14"/>
      <c r="AA829" s="14"/>
    </row>
    <row r="830" ht="15.75" customHeight="1">
      <c r="F830" s="14"/>
      <c r="K830" s="14"/>
      <c r="L830" s="14"/>
      <c r="P830" s="14"/>
      <c r="T830" s="14"/>
      <c r="U830" s="14"/>
      <c r="V830" s="14"/>
      <c r="W830" s="14"/>
      <c r="AA830" s="14"/>
    </row>
    <row r="831" ht="15.75" customHeight="1">
      <c r="F831" s="14"/>
      <c r="K831" s="14"/>
      <c r="L831" s="14"/>
      <c r="P831" s="14"/>
      <c r="T831" s="14"/>
      <c r="U831" s="14"/>
      <c r="V831" s="14"/>
      <c r="W831" s="14"/>
      <c r="AA831" s="14"/>
    </row>
    <row r="832" ht="15.75" customHeight="1">
      <c r="F832" s="14"/>
      <c r="K832" s="14"/>
      <c r="L832" s="14"/>
      <c r="P832" s="14"/>
      <c r="T832" s="14"/>
      <c r="U832" s="14"/>
      <c r="V832" s="14"/>
      <c r="W832" s="14"/>
      <c r="AA832" s="14"/>
    </row>
    <row r="833" ht="15.75" customHeight="1">
      <c r="F833" s="14"/>
      <c r="K833" s="14"/>
      <c r="L833" s="14"/>
      <c r="P833" s="14"/>
      <c r="T833" s="14"/>
      <c r="U833" s="14"/>
      <c r="V833" s="14"/>
      <c r="W833" s="14"/>
      <c r="AA833" s="14"/>
    </row>
    <row r="834" ht="15.75" customHeight="1">
      <c r="F834" s="14"/>
      <c r="K834" s="14"/>
      <c r="L834" s="14"/>
      <c r="P834" s="14"/>
      <c r="T834" s="14"/>
      <c r="U834" s="14"/>
      <c r="V834" s="14"/>
      <c r="W834" s="14"/>
      <c r="AA834" s="14"/>
    </row>
    <row r="835" ht="15.75" customHeight="1">
      <c r="F835" s="14"/>
      <c r="K835" s="14"/>
      <c r="L835" s="14"/>
      <c r="P835" s="14"/>
      <c r="T835" s="14"/>
      <c r="U835" s="14"/>
      <c r="V835" s="14"/>
      <c r="W835" s="14"/>
      <c r="AA835" s="14"/>
    </row>
    <row r="836" ht="15.75" customHeight="1">
      <c r="F836" s="14"/>
      <c r="K836" s="14"/>
      <c r="L836" s="14"/>
      <c r="P836" s="14"/>
      <c r="T836" s="14"/>
      <c r="U836" s="14"/>
      <c r="V836" s="14"/>
      <c r="W836" s="14"/>
      <c r="AA836" s="14"/>
    </row>
    <row r="837" ht="15.75" customHeight="1">
      <c r="F837" s="14"/>
      <c r="K837" s="14"/>
      <c r="L837" s="14"/>
      <c r="P837" s="14"/>
      <c r="T837" s="14"/>
      <c r="U837" s="14"/>
      <c r="V837" s="14"/>
      <c r="W837" s="14"/>
      <c r="AA837" s="14"/>
    </row>
    <row r="838" ht="15.75" customHeight="1">
      <c r="F838" s="14"/>
      <c r="K838" s="14"/>
      <c r="L838" s="14"/>
      <c r="P838" s="14"/>
      <c r="T838" s="14"/>
      <c r="U838" s="14"/>
      <c r="V838" s="14"/>
      <c r="W838" s="14"/>
      <c r="AA838" s="14"/>
    </row>
    <row r="839" ht="15.75" customHeight="1">
      <c r="F839" s="14"/>
      <c r="K839" s="14"/>
      <c r="L839" s="14"/>
      <c r="P839" s="14"/>
      <c r="T839" s="14"/>
      <c r="U839" s="14"/>
      <c r="V839" s="14"/>
      <c r="W839" s="14"/>
      <c r="AA839" s="14"/>
    </row>
    <row r="840" ht="15.75" customHeight="1">
      <c r="F840" s="14"/>
      <c r="K840" s="14"/>
      <c r="L840" s="14"/>
      <c r="P840" s="14"/>
      <c r="T840" s="14"/>
      <c r="U840" s="14"/>
      <c r="V840" s="14"/>
      <c r="W840" s="14"/>
      <c r="AA840" s="14"/>
    </row>
    <row r="841" ht="15.75" customHeight="1">
      <c r="F841" s="14"/>
      <c r="K841" s="14"/>
      <c r="L841" s="14"/>
      <c r="P841" s="14"/>
      <c r="T841" s="14"/>
      <c r="U841" s="14"/>
      <c r="V841" s="14"/>
      <c r="W841" s="14"/>
      <c r="AA841" s="14"/>
    </row>
    <row r="842" ht="15.75" customHeight="1">
      <c r="F842" s="14"/>
      <c r="K842" s="14"/>
      <c r="L842" s="14"/>
      <c r="P842" s="14"/>
      <c r="T842" s="14"/>
      <c r="U842" s="14"/>
      <c r="V842" s="14"/>
      <c r="W842" s="14"/>
      <c r="AA842" s="14"/>
    </row>
    <row r="843" ht="15.75" customHeight="1">
      <c r="F843" s="14"/>
      <c r="K843" s="14"/>
      <c r="L843" s="14"/>
      <c r="P843" s="14"/>
      <c r="T843" s="14"/>
      <c r="U843" s="14"/>
      <c r="V843" s="14"/>
      <c r="W843" s="14"/>
      <c r="AA843" s="14"/>
    </row>
    <row r="844" ht="15.75" customHeight="1">
      <c r="F844" s="14"/>
      <c r="K844" s="14"/>
      <c r="L844" s="14"/>
      <c r="P844" s="14"/>
      <c r="T844" s="14"/>
      <c r="U844" s="14"/>
      <c r="V844" s="14"/>
      <c r="W844" s="14"/>
      <c r="AA844" s="14"/>
    </row>
    <row r="845" ht="15.75" customHeight="1">
      <c r="F845" s="14"/>
      <c r="K845" s="14"/>
      <c r="L845" s="14"/>
      <c r="P845" s="14"/>
      <c r="T845" s="14"/>
      <c r="U845" s="14"/>
      <c r="V845" s="14"/>
      <c r="W845" s="14"/>
      <c r="AA845" s="14"/>
    </row>
    <row r="846" ht="15.75" customHeight="1">
      <c r="F846" s="14"/>
      <c r="K846" s="14"/>
      <c r="L846" s="14"/>
      <c r="P846" s="14"/>
      <c r="T846" s="14"/>
      <c r="U846" s="14"/>
      <c r="V846" s="14"/>
      <c r="W846" s="14"/>
      <c r="AA846" s="14"/>
    </row>
    <row r="847" ht="15.75" customHeight="1">
      <c r="F847" s="14"/>
      <c r="K847" s="14"/>
      <c r="L847" s="14"/>
      <c r="P847" s="14"/>
      <c r="T847" s="14"/>
      <c r="U847" s="14"/>
      <c r="V847" s="14"/>
      <c r="W847" s="14"/>
      <c r="AA847" s="14"/>
    </row>
    <row r="848" ht="15.75" customHeight="1">
      <c r="F848" s="14"/>
      <c r="K848" s="14"/>
      <c r="L848" s="14"/>
      <c r="P848" s="14"/>
      <c r="T848" s="14"/>
      <c r="U848" s="14"/>
      <c r="V848" s="14"/>
      <c r="W848" s="14"/>
      <c r="AA848" s="14"/>
    </row>
    <row r="849" ht="15.75" customHeight="1">
      <c r="F849" s="14"/>
      <c r="K849" s="14"/>
      <c r="L849" s="14"/>
      <c r="P849" s="14"/>
      <c r="T849" s="14"/>
      <c r="U849" s="14"/>
      <c r="V849" s="14"/>
      <c r="W849" s="14"/>
      <c r="AA849" s="14"/>
    </row>
    <row r="850" ht="15.75" customHeight="1">
      <c r="F850" s="14"/>
      <c r="K850" s="14"/>
      <c r="L850" s="14"/>
      <c r="P850" s="14"/>
      <c r="T850" s="14"/>
      <c r="U850" s="14"/>
      <c r="V850" s="14"/>
      <c r="W850" s="14"/>
      <c r="AA850" s="14"/>
    </row>
    <row r="851" ht="15.75" customHeight="1">
      <c r="F851" s="14"/>
      <c r="K851" s="14"/>
      <c r="L851" s="14"/>
      <c r="P851" s="14"/>
      <c r="T851" s="14"/>
      <c r="U851" s="14"/>
      <c r="V851" s="14"/>
      <c r="W851" s="14"/>
      <c r="AA851" s="14"/>
    </row>
    <row r="852" ht="15.75" customHeight="1">
      <c r="F852" s="14"/>
      <c r="K852" s="14"/>
      <c r="L852" s="14"/>
      <c r="P852" s="14"/>
      <c r="T852" s="14"/>
      <c r="U852" s="14"/>
      <c r="V852" s="14"/>
      <c r="W852" s="14"/>
      <c r="AA852" s="14"/>
    </row>
    <row r="853" ht="15.75" customHeight="1">
      <c r="F853" s="14"/>
      <c r="K853" s="14"/>
      <c r="L853" s="14"/>
      <c r="P853" s="14"/>
      <c r="T853" s="14"/>
      <c r="U853" s="14"/>
      <c r="V853" s="14"/>
      <c r="W853" s="14"/>
      <c r="AA853" s="14"/>
    </row>
    <row r="854" ht="15.75" customHeight="1">
      <c r="F854" s="14"/>
      <c r="K854" s="14"/>
      <c r="L854" s="14"/>
      <c r="P854" s="14"/>
      <c r="T854" s="14"/>
      <c r="U854" s="14"/>
      <c r="V854" s="14"/>
      <c r="W854" s="14"/>
      <c r="AA854" s="14"/>
    </row>
    <row r="855" ht="15.75" customHeight="1">
      <c r="F855" s="14"/>
      <c r="K855" s="14"/>
      <c r="L855" s="14"/>
      <c r="P855" s="14"/>
      <c r="T855" s="14"/>
      <c r="U855" s="14"/>
      <c r="V855" s="14"/>
      <c r="W855" s="14"/>
      <c r="AA855" s="14"/>
    </row>
    <row r="856" ht="15.75" customHeight="1">
      <c r="F856" s="14"/>
      <c r="K856" s="14"/>
      <c r="L856" s="14"/>
      <c r="P856" s="14"/>
      <c r="T856" s="14"/>
      <c r="U856" s="14"/>
      <c r="V856" s="14"/>
      <c r="W856" s="14"/>
      <c r="AA856" s="14"/>
    </row>
    <row r="857" ht="15.75" customHeight="1">
      <c r="F857" s="14"/>
      <c r="K857" s="14"/>
      <c r="L857" s="14"/>
      <c r="P857" s="14"/>
      <c r="T857" s="14"/>
      <c r="U857" s="14"/>
      <c r="V857" s="14"/>
      <c r="W857" s="14"/>
      <c r="AA857" s="14"/>
    </row>
    <row r="858" ht="15.75" customHeight="1">
      <c r="F858" s="14"/>
      <c r="K858" s="14"/>
      <c r="L858" s="14"/>
      <c r="P858" s="14"/>
      <c r="T858" s="14"/>
      <c r="U858" s="14"/>
      <c r="V858" s="14"/>
      <c r="W858" s="14"/>
      <c r="AA858" s="14"/>
    </row>
    <row r="859" ht="15.75" customHeight="1">
      <c r="F859" s="14"/>
      <c r="K859" s="14"/>
      <c r="L859" s="14"/>
      <c r="P859" s="14"/>
      <c r="T859" s="14"/>
      <c r="U859" s="14"/>
      <c r="V859" s="14"/>
      <c r="W859" s="14"/>
      <c r="AA859" s="14"/>
    </row>
    <row r="860" ht="15.75" customHeight="1">
      <c r="F860" s="14"/>
      <c r="K860" s="14"/>
      <c r="L860" s="14"/>
      <c r="P860" s="14"/>
      <c r="T860" s="14"/>
      <c r="U860" s="14"/>
      <c r="V860" s="14"/>
      <c r="W860" s="14"/>
      <c r="AA860" s="14"/>
    </row>
    <row r="861" ht="15.75" customHeight="1">
      <c r="F861" s="14"/>
      <c r="K861" s="14"/>
      <c r="L861" s="14"/>
      <c r="P861" s="14"/>
      <c r="T861" s="14"/>
      <c r="U861" s="14"/>
      <c r="V861" s="14"/>
      <c r="W861" s="14"/>
      <c r="AA861" s="14"/>
    </row>
    <row r="862" ht="15.75" customHeight="1">
      <c r="F862" s="14"/>
      <c r="K862" s="14"/>
      <c r="L862" s="14"/>
      <c r="P862" s="14"/>
      <c r="T862" s="14"/>
      <c r="U862" s="14"/>
      <c r="V862" s="14"/>
      <c r="W862" s="14"/>
      <c r="AA862" s="14"/>
    </row>
    <row r="863" ht="15.75" customHeight="1">
      <c r="F863" s="14"/>
      <c r="K863" s="14"/>
      <c r="L863" s="14"/>
      <c r="P863" s="14"/>
      <c r="T863" s="14"/>
      <c r="U863" s="14"/>
      <c r="V863" s="14"/>
      <c r="W863" s="14"/>
      <c r="AA863" s="14"/>
    </row>
    <row r="864" ht="15.75" customHeight="1">
      <c r="F864" s="14"/>
      <c r="K864" s="14"/>
      <c r="L864" s="14"/>
      <c r="P864" s="14"/>
      <c r="T864" s="14"/>
      <c r="U864" s="14"/>
      <c r="V864" s="14"/>
      <c r="W864" s="14"/>
      <c r="AA864" s="14"/>
    </row>
    <row r="865" ht="15.75" customHeight="1">
      <c r="F865" s="14"/>
      <c r="K865" s="14"/>
      <c r="L865" s="14"/>
      <c r="P865" s="14"/>
      <c r="T865" s="14"/>
      <c r="U865" s="14"/>
      <c r="V865" s="14"/>
      <c r="W865" s="14"/>
      <c r="AA865" s="14"/>
    </row>
    <row r="866" ht="15.75" customHeight="1">
      <c r="F866" s="14"/>
      <c r="K866" s="14"/>
      <c r="L866" s="14"/>
      <c r="P866" s="14"/>
      <c r="T866" s="14"/>
      <c r="U866" s="14"/>
      <c r="V866" s="14"/>
      <c r="W866" s="14"/>
      <c r="AA866" s="14"/>
    </row>
    <row r="867" ht="15.75" customHeight="1">
      <c r="F867" s="14"/>
      <c r="K867" s="14"/>
      <c r="L867" s="14"/>
      <c r="P867" s="14"/>
      <c r="T867" s="14"/>
      <c r="U867" s="14"/>
      <c r="V867" s="14"/>
      <c r="W867" s="14"/>
      <c r="AA867" s="14"/>
    </row>
    <row r="868" ht="15.75" customHeight="1">
      <c r="F868" s="14"/>
      <c r="K868" s="14"/>
      <c r="L868" s="14"/>
      <c r="P868" s="14"/>
      <c r="T868" s="14"/>
      <c r="U868" s="14"/>
      <c r="V868" s="14"/>
      <c r="W868" s="14"/>
      <c r="AA868" s="14"/>
    </row>
    <row r="869" ht="15.75" customHeight="1">
      <c r="F869" s="14"/>
      <c r="K869" s="14"/>
      <c r="L869" s="14"/>
      <c r="P869" s="14"/>
      <c r="T869" s="14"/>
      <c r="U869" s="14"/>
      <c r="V869" s="14"/>
      <c r="W869" s="14"/>
      <c r="AA869" s="14"/>
    </row>
    <row r="870" ht="15.75" customHeight="1">
      <c r="F870" s="14"/>
      <c r="K870" s="14"/>
      <c r="L870" s="14"/>
      <c r="P870" s="14"/>
      <c r="T870" s="14"/>
      <c r="U870" s="14"/>
      <c r="V870" s="14"/>
      <c r="W870" s="14"/>
      <c r="AA870" s="14"/>
    </row>
    <row r="871" ht="15.75" customHeight="1">
      <c r="F871" s="14"/>
      <c r="K871" s="14"/>
      <c r="L871" s="14"/>
      <c r="P871" s="14"/>
      <c r="T871" s="14"/>
      <c r="U871" s="14"/>
      <c r="V871" s="14"/>
      <c r="W871" s="14"/>
      <c r="AA871" s="14"/>
    </row>
    <row r="872" ht="15.75" customHeight="1">
      <c r="F872" s="14"/>
      <c r="K872" s="14"/>
      <c r="L872" s="14"/>
      <c r="P872" s="14"/>
      <c r="T872" s="14"/>
      <c r="U872" s="14"/>
      <c r="V872" s="14"/>
      <c r="W872" s="14"/>
      <c r="AA872" s="14"/>
    </row>
    <row r="873" ht="15.75" customHeight="1">
      <c r="F873" s="14"/>
      <c r="K873" s="14"/>
      <c r="L873" s="14"/>
      <c r="P873" s="14"/>
      <c r="T873" s="14"/>
      <c r="U873" s="14"/>
      <c r="V873" s="14"/>
      <c r="W873" s="14"/>
      <c r="AA873" s="14"/>
    </row>
    <row r="874" ht="15.75" customHeight="1">
      <c r="F874" s="14"/>
      <c r="K874" s="14"/>
      <c r="L874" s="14"/>
      <c r="P874" s="14"/>
      <c r="T874" s="14"/>
      <c r="U874" s="14"/>
      <c r="V874" s="14"/>
      <c r="W874" s="14"/>
      <c r="AA874" s="14"/>
    </row>
    <row r="875" ht="15.75" customHeight="1">
      <c r="F875" s="14"/>
      <c r="K875" s="14"/>
      <c r="L875" s="14"/>
      <c r="P875" s="14"/>
      <c r="T875" s="14"/>
      <c r="U875" s="14"/>
      <c r="V875" s="14"/>
      <c r="W875" s="14"/>
      <c r="AA875" s="14"/>
    </row>
    <row r="876" ht="15.75" customHeight="1">
      <c r="F876" s="14"/>
      <c r="K876" s="14"/>
      <c r="L876" s="14"/>
      <c r="P876" s="14"/>
      <c r="T876" s="14"/>
      <c r="U876" s="14"/>
      <c r="V876" s="14"/>
      <c r="W876" s="14"/>
      <c r="AA876" s="14"/>
    </row>
    <row r="877" ht="15.75" customHeight="1">
      <c r="F877" s="14"/>
      <c r="K877" s="14"/>
      <c r="L877" s="14"/>
      <c r="P877" s="14"/>
      <c r="T877" s="14"/>
      <c r="U877" s="14"/>
      <c r="V877" s="14"/>
      <c r="W877" s="14"/>
      <c r="AA877" s="14"/>
    </row>
    <row r="878" ht="15.75" customHeight="1">
      <c r="F878" s="14"/>
      <c r="K878" s="14"/>
      <c r="L878" s="14"/>
      <c r="P878" s="14"/>
      <c r="T878" s="14"/>
      <c r="U878" s="14"/>
      <c r="V878" s="14"/>
      <c r="W878" s="14"/>
      <c r="AA878" s="14"/>
    </row>
    <row r="879" ht="15.75" customHeight="1">
      <c r="F879" s="14"/>
      <c r="K879" s="14"/>
      <c r="L879" s="14"/>
      <c r="P879" s="14"/>
      <c r="T879" s="14"/>
      <c r="U879" s="14"/>
      <c r="V879" s="14"/>
      <c r="W879" s="14"/>
      <c r="AA879" s="14"/>
    </row>
    <row r="880" ht="15.75" customHeight="1">
      <c r="F880" s="14"/>
      <c r="K880" s="14"/>
      <c r="L880" s="14"/>
      <c r="P880" s="14"/>
      <c r="T880" s="14"/>
      <c r="U880" s="14"/>
      <c r="V880" s="14"/>
      <c r="W880" s="14"/>
      <c r="AA880" s="14"/>
    </row>
    <row r="881" ht="15.75" customHeight="1">
      <c r="F881" s="14"/>
      <c r="K881" s="14"/>
      <c r="L881" s="14"/>
      <c r="P881" s="14"/>
      <c r="T881" s="14"/>
      <c r="U881" s="14"/>
      <c r="V881" s="14"/>
      <c r="W881" s="14"/>
      <c r="AA881" s="14"/>
    </row>
    <row r="882" ht="15.75" customHeight="1">
      <c r="F882" s="14"/>
      <c r="K882" s="14"/>
      <c r="L882" s="14"/>
      <c r="P882" s="14"/>
      <c r="T882" s="14"/>
      <c r="U882" s="14"/>
      <c r="V882" s="14"/>
      <c r="W882" s="14"/>
      <c r="AA882" s="14"/>
    </row>
    <row r="883" ht="15.75" customHeight="1">
      <c r="F883" s="14"/>
      <c r="K883" s="14"/>
      <c r="L883" s="14"/>
      <c r="P883" s="14"/>
      <c r="T883" s="14"/>
      <c r="U883" s="14"/>
      <c r="V883" s="14"/>
      <c r="W883" s="14"/>
      <c r="AA883" s="14"/>
    </row>
    <row r="884" ht="15.75" customHeight="1">
      <c r="F884" s="14"/>
      <c r="K884" s="14"/>
      <c r="L884" s="14"/>
      <c r="P884" s="14"/>
      <c r="T884" s="14"/>
      <c r="U884" s="14"/>
      <c r="V884" s="14"/>
      <c r="W884" s="14"/>
      <c r="AA884" s="14"/>
    </row>
    <row r="885" ht="15.75" customHeight="1">
      <c r="F885" s="14"/>
      <c r="K885" s="14"/>
      <c r="L885" s="14"/>
      <c r="P885" s="14"/>
      <c r="T885" s="14"/>
      <c r="U885" s="14"/>
      <c r="V885" s="14"/>
      <c r="W885" s="14"/>
      <c r="AA885" s="14"/>
    </row>
    <row r="886" ht="15.75" customHeight="1">
      <c r="F886" s="14"/>
      <c r="K886" s="14"/>
      <c r="L886" s="14"/>
      <c r="P886" s="14"/>
      <c r="T886" s="14"/>
      <c r="U886" s="14"/>
      <c r="V886" s="14"/>
      <c r="W886" s="14"/>
      <c r="AA886" s="14"/>
    </row>
    <row r="887" ht="15.75" customHeight="1">
      <c r="F887" s="14"/>
      <c r="K887" s="14"/>
      <c r="L887" s="14"/>
      <c r="P887" s="14"/>
      <c r="T887" s="14"/>
      <c r="U887" s="14"/>
      <c r="V887" s="14"/>
      <c r="W887" s="14"/>
      <c r="AA887" s="14"/>
    </row>
    <row r="888" ht="15.75" customHeight="1">
      <c r="F888" s="14"/>
      <c r="K888" s="14"/>
      <c r="L888" s="14"/>
      <c r="P888" s="14"/>
      <c r="T888" s="14"/>
      <c r="U888" s="14"/>
      <c r="V888" s="14"/>
      <c r="W888" s="14"/>
      <c r="AA888" s="14"/>
    </row>
    <row r="889" ht="15.75" customHeight="1">
      <c r="F889" s="14"/>
      <c r="K889" s="14"/>
      <c r="L889" s="14"/>
      <c r="P889" s="14"/>
      <c r="T889" s="14"/>
      <c r="U889" s="14"/>
      <c r="V889" s="14"/>
      <c r="W889" s="14"/>
      <c r="AA889" s="14"/>
    </row>
    <row r="890" ht="15.75" customHeight="1">
      <c r="F890" s="14"/>
      <c r="K890" s="14"/>
      <c r="L890" s="14"/>
      <c r="P890" s="14"/>
      <c r="T890" s="14"/>
      <c r="U890" s="14"/>
      <c r="V890" s="14"/>
      <c r="W890" s="14"/>
      <c r="AA890" s="14"/>
    </row>
    <row r="891" ht="15.75" customHeight="1">
      <c r="F891" s="14"/>
      <c r="K891" s="14"/>
      <c r="L891" s="14"/>
      <c r="P891" s="14"/>
      <c r="T891" s="14"/>
      <c r="U891" s="14"/>
      <c r="V891" s="14"/>
      <c r="W891" s="14"/>
      <c r="AA891" s="14"/>
    </row>
    <row r="892" ht="15.75" customHeight="1">
      <c r="F892" s="14"/>
      <c r="K892" s="14"/>
      <c r="L892" s="14"/>
      <c r="P892" s="14"/>
      <c r="T892" s="14"/>
      <c r="U892" s="14"/>
      <c r="V892" s="14"/>
      <c r="W892" s="14"/>
      <c r="AA892" s="14"/>
    </row>
    <row r="893" ht="15.75" customHeight="1">
      <c r="F893" s="14"/>
      <c r="K893" s="14"/>
      <c r="L893" s="14"/>
      <c r="P893" s="14"/>
      <c r="T893" s="14"/>
      <c r="U893" s="14"/>
      <c r="V893" s="14"/>
      <c r="W893" s="14"/>
      <c r="AA893" s="14"/>
    </row>
    <row r="894" ht="15.75" customHeight="1">
      <c r="F894" s="14"/>
      <c r="K894" s="14"/>
      <c r="L894" s="14"/>
      <c r="P894" s="14"/>
      <c r="T894" s="14"/>
      <c r="U894" s="14"/>
      <c r="V894" s="14"/>
      <c r="W894" s="14"/>
      <c r="AA894" s="14"/>
    </row>
    <row r="895" ht="15.75" customHeight="1">
      <c r="F895" s="14"/>
      <c r="K895" s="14"/>
      <c r="L895" s="14"/>
      <c r="P895" s="14"/>
      <c r="T895" s="14"/>
      <c r="U895" s="14"/>
      <c r="V895" s="14"/>
      <c r="W895" s="14"/>
      <c r="AA895" s="14"/>
    </row>
    <row r="896" ht="15.75" customHeight="1">
      <c r="F896" s="14"/>
      <c r="K896" s="14"/>
      <c r="L896" s="14"/>
      <c r="P896" s="14"/>
      <c r="T896" s="14"/>
      <c r="U896" s="14"/>
      <c r="V896" s="14"/>
      <c r="W896" s="14"/>
      <c r="AA896" s="14"/>
    </row>
    <row r="897" ht="15.75" customHeight="1">
      <c r="F897" s="14"/>
      <c r="K897" s="14"/>
      <c r="L897" s="14"/>
      <c r="P897" s="14"/>
      <c r="T897" s="14"/>
      <c r="U897" s="14"/>
      <c r="V897" s="14"/>
      <c r="W897" s="14"/>
      <c r="AA897" s="14"/>
    </row>
    <row r="898" ht="15.75" customHeight="1">
      <c r="F898" s="14"/>
      <c r="K898" s="14"/>
      <c r="L898" s="14"/>
      <c r="P898" s="14"/>
      <c r="T898" s="14"/>
      <c r="U898" s="14"/>
      <c r="V898" s="14"/>
      <c r="W898" s="14"/>
      <c r="AA898" s="14"/>
    </row>
    <row r="899" ht="15.75" customHeight="1">
      <c r="F899" s="14"/>
      <c r="K899" s="14"/>
      <c r="L899" s="14"/>
      <c r="P899" s="14"/>
      <c r="T899" s="14"/>
      <c r="U899" s="14"/>
      <c r="V899" s="14"/>
      <c r="W899" s="14"/>
      <c r="AA899" s="14"/>
    </row>
    <row r="900" ht="15.75" customHeight="1">
      <c r="F900" s="14"/>
      <c r="K900" s="14"/>
      <c r="L900" s="14"/>
      <c r="P900" s="14"/>
      <c r="T900" s="14"/>
      <c r="U900" s="14"/>
      <c r="V900" s="14"/>
      <c r="W900" s="14"/>
      <c r="AA900" s="14"/>
    </row>
    <row r="901" ht="15.75" customHeight="1">
      <c r="F901" s="14"/>
      <c r="K901" s="14"/>
      <c r="L901" s="14"/>
      <c r="P901" s="14"/>
      <c r="T901" s="14"/>
      <c r="U901" s="14"/>
      <c r="V901" s="14"/>
      <c r="W901" s="14"/>
      <c r="AA901" s="14"/>
    </row>
    <row r="902" ht="15.75" customHeight="1">
      <c r="F902" s="14"/>
      <c r="K902" s="14"/>
      <c r="L902" s="14"/>
      <c r="P902" s="14"/>
      <c r="T902" s="14"/>
      <c r="U902" s="14"/>
      <c r="V902" s="14"/>
      <c r="W902" s="14"/>
      <c r="AA902" s="14"/>
    </row>
    <row r="903" ht="15.75" customHeight="1">
      <c r="F903" s="14"/>
      <c r="K903" s="14"/>
      <c r="L903" s="14"/>
      <c r="P903" s="14"/>
      <c r="T903" s="14"/>
      <c r="U903" s="14"/>
      <c r="V903" s="14"/>
      <c r="W903" s="14"/>
      <c r="AA903" s="14"/>
    </row>
    <row r="904" ht="15.75" customHeight="1">
      <c r="F904" s="14"/>
      <c r="K904" s="14"/>
      <c r="L904" s="14"/>
      <c r="P904" s="14"/>
      <c r="T904" s="14"/>
      <c r="U904" s="14"/>
      <c r="V904" s="14"/>
      <c r="W904" s="14"/>
      <c r="AA904" s="14"/>
    </row>
    <row r="905" ht="15.75" customHeight="1">
      <c r="F905" s="14"/>
      <c r="K905" s="14"/>
      <c r="L905" s="14"/>
      <c r="P905" s="14"/>
      <c r="T905" s="14"/>
      <c r="U905" s="14"/>
      <c r="V905" s="14"/>
      <c r="W905" s="14"/>
      <c r="AA905" s="14"/>
    </row>
    <row r="906" ht="15.75" customHeight="1">
      <c r="F906" s="14"/>
      <c r="K906" s="14"/>
      <c r="L906" s="14"/>
      <c r="P906" s="14"/>
      <c r="T906" s="14"/>
      <c r="U906" s="14"/>
      <c r="V906" s="14"/>
      <c r="W906" s="14"/>
      <c r="AA906" s="14"/>
    </row>
    <row r="907" ht="15.75" customHeight="1">
      <c r="F907" s="14"/>
      <c r="K907" s="14"/>
      <c r="L907" s="14"/>
      <c r="P907" s="14"/>
      <c r="T907" s="14"/>
      <c r="U907" s="14"/>
      <c r="V907" s="14"/>
      <c r="W907" s="14"/>
      <c r="AA907" s="14"/>
    </row>
    <row r="908" ht="15.75" customHeight="1">
      <c r="F908" s="14"/>
      <c r="K908" s="14"/>
      <c r="L908" s="14"/>
      <c r="P908" s="14"/>
      <c r="T908" s="14"/>
      <c r="U908" s="14"/>
      <c r="V908" s="14"/>
      <c r="W908" s="14"/>
      <c r="AA908" s="14"/>
    </row>
    <row r="909" ht="15.75" customHeight="1">
      <c r="F909" s="14"/>
      <c r="K909" s="14"/>
      <c r="L909" s="14"/>
      <c r="P909" s="14"/>
      <c r="T909" s="14"/>
      <c r="U909" s="14"/>
      <c r="V909" s="14"/>
      <c r="W909" s="14"/>
      <c r="AA909" s="14"/>
    </row>
    <row r="910" ht="15.75" customHeight="1">
      <c r="F910" s="14"/>
      <c r="K910" s="14"/>
      <c r="L910" s="14"/>
      <c r="P910" s="14"/>
      <c r="T910" s="14"/>
      <c r="U910" s="14"/>
      <c r="V910" s="14"/>
      <c r="W910" s="14"/>
      <c r="AA910" s="14"/>
    </row>
    <row r="911" ht="15.75" customHeight="1">
      <c r="F911" s="14"/>
      <c r="K911" s="14"/>
      <c r="L911" s="14"/>
      <c r="P911" s="14"/>
      <c r="T911" s="14"/>
      <c r="U911" s="14"/>
      <c r="V911" s="14"/>
      <c r="W911" s="14"/>
      <c r="AA911" s="14"/>
    </row>
    <row r="912" ht="15.75" customHeight="1">
      <c r="F912" s="14"/>
      <c r="K912" s="14"/>
      <c r="L912" s="14"/>
      <c r="P912" s="14"/>
      <c r="T912" s="14"/>
      <c r="U912" s="14"/>
      <c r="V912" s="14"/>
      <c r="W912" s="14"/>
      <c r="AA912" s="14"/>
    </row>
    <row r="913" ht="15.75" customHeight="1">
      <c r="F913" s="14"/>
      <c r="K913" s="14"/>
      <c r="L913" s="14"/>
      <c r="P913" s="14"/>
      <c r="T913" s="14"/>
      <c r="U913" s="14"/>
      <c r="V913" s="14"/>
      <c r="W913" s="14"/>
      <c r="AA913" s="14"/>
    </row>
    <row r="914" ht="15.75" customHeight="1">
      <c r="F914" s="14"/>
      <c r="K914" s="14"/>
      <c r="L914" s="14"/>
      <c r="P914" s="14"/>
      <c r="T914" s="14"/>
      <c r="U914" s="14"/>
      <c r="V914" s="14"/>
      <c r="W914" s="14"/>
      <c r="AA914" s="14"/>
    </row>
    <row r="915" ht="15.75" customHeight="1">
      <c r="F915" s="14"/>
      <c r="K915" s="14"/>
      <c r="L915" s="14"/>
      <c r="P915" s="14"/>
      <c r="T915" s="14"/>
      <c r="U915" s="14"/>
      <c r="V915" s="14"/>
      <c r="W915" s="14"/>
      <c r="AA915" s="14"/>
    </row>
    <row r="916" ht="15.75" customHeight="1">
      <c r="F916" s="14"/>
      <c r="K916" s="14"/>
      <c r="L916" s="14"/>
      <c r="P916" s="14"/>
      <c r="T916" s="14"/>
      <c r="U916" s="14"/>
      <c r="V916" s="14"/>
      <c r="W916" s="14"/>
      <c r="AA916" s="14"/>
    </row>
    <row r="917" ht="15.75" customHeight="1">
      <c r="F917" s="14"/>
      <c r="K917" s="14"/>
      <c r="L917" s="14"/>
      <c r="P917" s="14"/>
      <c r="T917" s="14"/>
      <c r="U917" s="14"/>
      <c r="V917" s="14"/>
      <c r="W917" s="14"/>
      <c r="AA917" s="14"/>
    </row>
    <row r="918" ht="15.75" customHeight="1">
      <c r="F918" s="14"/>
      <c r="K918" s="14"/>
      <c r="L918" s="14"/>
      <c r="P918" s="14"/>
      <c r="T918" s="14"/>
      <c r="U918" s="14"/>
      <c r="V918" s="14"/>
      <c r="W918" s="14"/>
      <c r="AA918" s="14"/>
    </row>
    <row r="919" ht="15.75" customHeight="1">
      <c r="F919" s="14"/>
      <c r="K919" s="14"/>
      <c r="L919" s="14"/>
      <c r="P919" s="14"/>
      <c r="T919" s="14"/>
      <c r="U919" s="14"/>
      <c r="V919" s="14"/>
      <c r="W919" s="14"/>
      <c r="AA919" s="14"/>
    </row>
    <row r="920" ht="15.75" customHeight="1">
      <c r="F920" s="14"/>
      <c r="K920" s="14"/>
      <c r="L920" s="14"/>
      <c r="P920" s="14"/>
      <c r="T920" s="14"/>
      <c r="U920" s="14"/>
      <c r="V920" s="14"/>
      <c r="W920" s="14"/>
      <c r="AA920" s="14"/>
    </row>
    <row r="921" ht="15.75" customHeight="1">
      <c r="F921" s="14"/>
      <c r="K921" s="14"/>
      <c r="L921" s="14"/>
      <c r="P921" s="14"/>
      <c r="T921" s="14"/>
      <c r="U921" s="14"/>
      <c r="V921" s="14"/>
      <c r="W921" s="14"/>
      <c r="AA921" s="14"/>
    </row>
    <row r="922" ht="15.75" customHeight="1">
      <c r="F922" s="14"/>
      <c r="K922" s="14"/>
      <c r="L922" s="14"/>
      <c r="P922" s="14"/>
      <c r="T922" s="14"/>
      <c r="U922" s="14"/>
      <c r="V922" s="14"/>
      <c r="W922" s="14"/>
      <c r="AA922" s="14"/>
    </row>
    <row r="923" ht="15.75" customHeight="1">
      <c r="F923" s="14"/>
      <c r="K923" s="14"/>
      <c r="L923" s="14"/>
      <c r="P923" s="14"/>
      <c r="T923" s="14"/>
      <c r="U923" s="14"/>
      <c r="V923" s="14"/>
      <c r="W923" s="14"/>
      <c r="AA923" s="14"/>
    </row>
    <row r="924" ht="15.75" customHeight="1">
      <c r="F924" s="14"/>
      <c r="K924" s="14"/>
      <c r="L924" s="14"/>
      <c r="P924" s="14"/>
      <c r="T924" s="14"/>
      <c r="U924" s="14"/>
      <c r="V924" s="14"/>
      <c r="W924" s="14"/>
      <c r="AA924" s="14"/>
    </row>
    <row r="925" ht="15.75" customHeight="1">
      <c r="F925" s="14"/>
      <c r="K925" s="14"/>
      <c r="L925" s="14"/>
      <c r="P925" s="14"/>
      <c r="T925" s="14"/>
      <c r="U925" s="14"/>
      <c r="V925" s="14"/>
      <c r="W925" s="14"/>
      <c r="AA925" s="14"/>
    </row>
    <row r="926" ht="15.75" customHeight="1">
      <c r="F926" s="14"/>
      <c r="K926" s="14"/>
      <c r="L926" s="14"/>
      <c r="P926" s="14"/>
      <c r="T926" s="14"/>
      <c r="U926" s="14"/>
      <c r="V926" s="14"/>
      <c r="W926" s="14"/>
      <c r="AA926" s="14"/>
    </row>
    <row r="927" ht="15.75" customHeight="1">
      <c r="F927" s="14"/>
      <c r="K927" s="14"/>
      <c r="L927" s="14"/>
      <c r="P927" s="14"/>
      <c r="T927" s="14"/>
      <c r="U927" s="14"/>
      <c r="V927" s="14"/>
      <c r="W927" s="14"/>
      <c r="AA927" s="14"/>
    </row>
    <row r="928" ht="15.75" customHeight="1">
      <c r="F928" s="14"/>
      <c r="K928" s="14"/>
      <c r="L928" s="14"/>
      <c r="P928" s="14"/>
      <c r="T928" s="14"/>
      <c r="U928" s="14"/>
      <c r="V928" s="14"/>
      <c r="W928" s="14"/>
      <c r="AA928" s="14"/>
    </row>
    <row r="929" ht="15.75" customHeight="1">
      <c r="F929" s="14"/>
      <c r="K929" s="14"/>
      <c r="L929" s="14"/>
      <c r="P929" s="14"/>
      <c r="T929" s="14"/>
      <c r="U929" s="14"/>
      <c r="V929" s="14"/>
      <c r="W929" s="14"/>
      <c r="AA929" s="14"/>
    </row>
    <row r="930" ht="15.75" customHeight="1">
      <c r="F930" s="14"/>
      <c r="K930" s="14"/>
      <c r="L930" s="14"/>
      <c r="P930" s="14"/>
      <c r="T930" s="14"/>
      <c r="U930" s="14"/>
      <c r="V930" s="14"/>
      <c r="W930" s="14"/>
      <c r="AA930" s="14"/>
    </row>
    <row r="931" ht="15.75" customHeight="1">
      <c r="F931" s="14"/>
      <c r="K931" s="14"/>
      <c r="L931" s="14"/>
      <c r="P931" s="14"/>
      <c r="T931" s="14"/>
      <c r="U931" s="14"/>
      <c r="V931" s="14"/>
      <c r="W931" s="14"/>
      <c r="AA931" s="14"/>
    </row>
    <row r="932" ht="15.75" customHeight="1">
      <c r="F932" s="14"/>
      <c r="K932" s="14"/>
      <c r="L932" s="14"/>
      <c r="P932" s="14"/>
      <c r="T932" s="14"/>
      <c r="U932" s="14"/>
      <c r="V932" s="14"/>
      <c r="W932" s="14"/>
      <c r="AA932" s="14"/>
    </row>
    <row r="933" ht="15.75" customHeight="1">
      <c r="F933" s="14"/>
      <c r="K933" s="14"/>
      <c r="L933" s="14"/>
      <c r="P933" s="14"/>
      <c r="T933" s="14"/>
      <c r="U933" s="14"/>
      <c r="V933" s="14"/>
      <c r="W933" s="14"/>
      <c r="AA933" s="14"/>
    </row>
    <row r="934" ht="15.75" customHeight="1">
      <c r="F934" s="14"/>
      <c r="K934" s="14"/>
      <c r="L934" s="14"/>
      <c r="P934" s="14"/>
      <c r="T934" s="14"/>
      <c r="U934" s="14"/>
      <c r="V934" s="14"/>
      <c r="W934" s="14"/>
      <c r="AA934" s="14"/>
    </row>
    <row r="935" ht="15.75" customHeight="1">
      <c r="F935" s="14"/>
      <c r="K935" s="14"/>
      <c r="L935" s="14"/>
      <c r="P935" s="14"/>
      <c r="T935" s="14"/>
      <c r="U935" s="14"/>
      <c r="V935" s="14"/>
      <c r="W935" s="14"/>
      <c r="AA935" s="14"/>
    </row>
    <row r="936" ht="15.75" customHeight="1">
      <c r="F936" s="14"/>
      <c r="K936" s="14"/>
      <c r="L936" s="14"/>
      <c r="P936" s="14"/>
      <c r="T936" s="14"/>
      <c r="U936" s="14"/>
      <c r="V936" s="14"/>
      <c r="W936" s="14"/>
      <c r="AA936" s="14"/>
    </row>
    <row r="937" ht="15.75" customHeight="1">
      <c r="F937" s="14"/>
      <c r="K937" s="14"/>
      <c r="L937" s="14"/>
      <c r="P937" s="14"/>
      <c r="T937" s="14"/>
      <c r="U937" s="14"/>
      <c r="V937" s="14"/>
      <c r="W937" s="14"/>
      <c r="AA937" s="14"/>
    </row>
    <row r="938" ht="15.75" customHeight="1">
      <c r="F938" s="14"/>
      <c r="K938" s="14"/>
      <c r="L938" s="14"/>
      <c r="P938" s="14"/>
      <c r="T938" s="14"/>
      <c r="U938" s="14"/>
      <c r="V938" s="14"/>
      <c r="W938" s="14"/>
      <c r="AA938" s="14"/>
    </row>
    <row r="939" ht="15.75" customHeight="1">
      <c r="F939" s="14"/>
      <c r="K939" s="14"/>
      <c r="L939" s="14"/>
      <c r="P939" s="14"/>
      <c r="T939" s="14"/>
      <c r="U939" s="14"/>
      <c r="V939" s="14"/>
      <c r="W939" s="14"/>
      <c r="AA939" s="14"/>
    </row>
    <row r="940" ht="15.75" customHeight="1">
      <c r="F940" s="14"/>
      <c r="K940" s="14"/>
      <c r="L940" s="14"/>
      <c r="P940" s="14"/>
      <c r="T940" s="14"/>
      <c r="U940" s="14"/>
      <c r="V940" s="14"/>
      <c r="W940" s="14"/>
      <c r="AA940" s="14"/>
    </row>
    <row r="941" ht="15.75" customHeight="1">
      <c r="F941" s="14"/>
      <c r="K941" s="14"/>
      <c r="L941" s="14"/>
      <c r="P941" s="14"/>
      <c r="T941" s="14"/>
      <c r="U941" s="14"/>
      <c r="V941" s="14"/>
      <c r="W941" s="14"/>
      <c r="AA941" s="14"/>
    </row>
    <row r="942" ht="15.75" customHeight="1">
      <c r="F942" s="14"/>
      <c r="K942" s="14"/>
      <c r="L942" s="14"/>
      <c r="P942" s="14"/>
      <c r="T942" s="14"/>
      <c r="U942" s="14"/>
      <c r="V942" s="14"/>
      <c r="W942" s="14"/>
      <c r="AA942" s="14"/>
    </row>
    <row r="943" ht="15.75" customHeight="1">
      <c r="F943" s="14"/>
      <c r="K943" s="14"/>
      <c r="L943" s="14"/>
      <c r="P943" s="14"/>
      <c r="T943" s="14"/>
      <c r="U943" s="14"/>
      <c r="V943" s="14"/>
      <c r="W943" s="14"/>
      <c r="AA943" s="14"/>
    </row>
    <row r="944" ht="15.75" customHeight="1">
      <c r="F944" s="14"/>
      <c r="K944" s="14"/>
      <c r="L944" s="14"/>
      <c r="P944" s="14"/>
      <c r="T944" s="14"/>
      <c r="U944" s="14"/>
      <c r="V944" s="14"/>
      <c r="W944" s="14"/>
      <c r="AA944" s="14"/>
    </row>
    <row r="945" ht="15.75" customHeight="1">
      <c r="F945" s="14"/>
      <c r="K945" s="14"/>
      <c r="L945" s="14"/>
      <c r="P945" s="14"/>
      <c r="T945" s="14"/>
      <c r="U945" s="14"/>
      <c r="V945" s="14"/>
      <c r="W945" s="14"/>
      <c r="AA945" s="14"/>
    </row>
    <row r="946" ht="15.75" customHeight="1">
      <c r="F946" s="14"/>
      <c r="K946" s="14"/>
      <c r="L946" s="14"/>
      <c r="P946" s="14"/>
      <c r="T946" s="14"/>
      <c r="U946" s="14"/>
      <c r="V946" s="14"/>
      <c r="W946" s="14"/>
      <c r="AA946" s="14"/>
    </row>
    <row r="947" ht="15.75" customHeight="1">
      <c r="F947" s="14"/>
      <c r="K947" s="14"/>
      <c r="L947" s="14"/>
      <c r="P947" s="14"/>
      <c r="T947" s="14"/>
      <c r="U947" s="14"/>
      <c r="V947" s="14"/>
      <c r="W947" s="14"/>
      <c r="AA947" s="14"/>
    </row>
    <row r="948" ht="15.75" customHeight="1">
      <c r="F948" s="14"/>
      <c r="K948" s="14"/>
      <c r="L948" s="14"/>
      <c r="P948" s="14"/>
      <c r="T948" s="14"/>
      <c r="U948" s="14"/>
      <c r="V948" s="14"/>
      <c r="W948" s="14"/>
      <c r="AA948" s="14"/>
    </row>
    <row r="949" ht="15.75" customHeight="1">
      <c r="F949" s="14"/>
      <c r="K949" s="14"/>
      <c r="L949" s="14"/>
      <c r="P949" s="14"/>
      <c r="T949" s="14"/>
      <c r="U949" s="14"/>
      <c r="V949" s="14"/>
      <c r="W949" s="14"/>
      <c r="AA949" s="14"/>
    </row>
    <row r="950" ht="15.75" customHeight="1">
      <c r="F950" s="14"/>
      <c r="K950" s="14"/>
      <c r="L950" s="14"/>
      <c r="P950" s="14"/>
      <c r="T950" s="14"/>
      <c r="U950" s="14"/>
      <c r="V950" s="14"/>
      <c r="W950" s="14"/>
      <c r="AA950" s="14"/>
    </row>
    <row r="951" ht="15.75" customHeight="1">
      <c r="F951" s="14"/>
      <c r="K951" s="14"/>
      <c r="L951" s="14"/>
      <c r="P951" s="14"/>
      <c r="T951" s="14"/>
      <c r="U951" s="14"/>
      <c r="V951" s="14"/>
      <c r="W951" s="14"/>
      <c r="AA951" s="14"/>
    </row>
    <row r="952" ht="15.75" customHeight="1">
      <c r="F952" s="14"/>
      <c r="K952" s="14"/>
      <c r="L952" s="14"/>
      <c r="P952" s="14"/>
      <c r="T952" s="14"/>
      <c r="U952" s="14"/>
      <c r="V952" s="14"/>
      <c r="W952" s="14"/>
      <c r="AA952" s="14"/>
    </row>
    <row r="953" ht="15.75" customHeight="1">
      <c r="F953" s="14"/>
      <c r="K953" s="14"/>
      <c r="L953" s="14"/>
      <c r="P953" s="14"/>
      <c r="T953" s="14"/>
      <c r="U953" s="14"/>
      <c r="V953" s="14"/>
      <c r="W953" s="14"/>
      <c r="AA953" s="14"/>
    </row>
    <row r="954" ht="15.75" customHeight="1">
      <c r="F954" s="14"/>
      <c r="K954" s="14"/>
      <c r="L954" s="14"/>
      <c r="P954" s="14"/>
      <c r="T954" s="14"/>
      <c r="U954" s="14"/>
      <c r="V954" s="14"/>
      <c r="W954" s="14"/>
      <c r="AA954" s="14"/>
    </row>
    <row r="955" ht="15.75" customHeight="1">
      <c r="F955" s="14"/>
      <c r="K955" s="14"/>
      <c r="L955" s="14"/>
      <c r="P955" s="14"/>
      <c r="T955" s="14"/>
      <c r="U955" s="14"/>
      <c r="V955" s="14"/>
      <c r="W955" s="14"/>
      <c r="AA955" s="14"/>
    </row>
    <row r="956" ht="15.75" customHeight="1">
      <c r="F956" s="14"/>
      <c r="K956" s="14"/>
      <c r="L956" s="14"/>
      <c r="P956" s="14"/>
      <c r="T956" s="14"/>
      <c r="U956" s="14"/>
      <c r="V956" s="14"/>
      <c r="W956" s="14"/>
      <c r="AA956" s="14"/>
    </row>
    <row r="957" ht="15.75" customHeight="1">
      <c r="F957" s="14"/>
      <c r="K957" s="14"/>
      <c r="L957" s="14"/>
      <c r="P957" s="14"/>
      <c r="T957" s="14"/>
      <c r="U957" s="14"/>
      <c r="V957" s="14"/>
      <c r="W957" s="14"/>
      <c r="AA957" s="14"/>
    </row>
    <row r="958" ht="15.75" customHeight="1">
      <c r="F958" s="14"/>
      <c r="K958" s="14"/>
      <c r="L958" s="14"/>
      <c r="P958" s="14"/>
      <c r="T958" s="14"/>
      <c r="U958" s="14"/>
      <c r="V958" s="14"/>
      <c r="W958" s="14"/>
      <c r="AA958" s="14"/>
    </row>
    <row r="959" ht="15.75" customHeight="1">
      <c r="F959" s="14"/>
      <c r="K959" s="14"/>
      <c r="L959" s="14"/>
      <c r="P959" s="14"/>
      <c r="T959" s="14"/>
      <c r="U959" s="14"/>
      <c r="V959" s="14"/>
      <c r="W959" s="14"/>
      <c r="AA959" s="14"/>
    </row>
    <row r="960" ht="15.75" customHeight="1">
      <c r="F960" s="14"/>
      <c r="K960" s="14"/>
      <c r="L960" s="14"/>
      <c r="P960" s="14"/>
      <c r="T960" s="14"/>
      <c r="U960" s="14"/>
      <c r="V960" s="14"/>
      <c r="W960" s="14"/>
      <c r="AA960" s="14"/>
    </row>
    <row r="961" ht="15.75" customHeight="1">
      <c r="F961" s="14"/>
      <c r="K961" s="14"/>
      <c r="L961" s="14"/>
      <c r="P961" s="14"/>
      <c r="T961" s="14"/>
      <c r="U961" s="14"/>
      <c r="V961" s="14"/>
      <c r="W961" s="14"/>
      <c r="AA961" s="14"/>
    </row>
    <row r="962" ht="15.75" customHeight="1">
      <c r="F962" s="14"/>
      <c r="K962" s="14"/>
      <c r="L962" s="14"/>
      <c r="P962" s="14"/>
      <c r="T962" s="14"/>
      <c r="U962" s="14"/>
      <c r="V962" s="14"/>
      <c r="W962" s="14"/>
      <c r="AA962" s="14"/>
    </row>
    <row r="963" ht="15.75" customHeight="1">
      <c r="F963" s="14"/>
      <c r="K963" s="14"/>
      <c r="L963" s="14"/>
      <c r="P963" s="14"/>
      <c r="T963" s="14"/>
      <c r="U963" s="14"/>
      <c r="V963" s="14"/>
      <c r="W963" s="14"/>
      <c r="AA963" s="14"/>
    </row>
    <row r="964" ht="15.75" customHeight="1">
      <c r="F964" s="14"/>
      <c r="K964" s="14"/>
      <c r="L964" s="14"/>
      <c r="P964" s="14"/>
      <c r="T964" s="14"/>
      <c r="U964" s="14"/>
      <c r="V964" s="14"/>
      <c r="W964" s="14"/>
      <c r="AA964" s="14"/>
    </row>
    <row r="965" ht="15.75" customHeight="1">
      <c r="F965" s="14"/>
      <c r="K965" s="14"/>
      <c r="L965" s="14"/>
      <c r="P965" s="14"/>
      <c r="T965" s="14"/>
      <c r="U965" s="14"/>
      <c r="V965" s="14"/>
      <c r="W965" s="14"/>
      <c r="AA965" s="14"/>
    </row>
    <row r="966" ht="15.75" customHeight="1">
      <c r="F966" s="14"/>
      <c r="K966" s="14"/>
      <c r="L966" s="14"/>
      <c r="P966" s="14"/>
      <c r="T966" s="14"/>
      <c r="U966" s="14"/>
      <c r="V966" s="14"/>
      <c r="W966" s="14"/>
      <c r="AA966" s="14"/>
    </row>
    <row r="967" ht="15.75" customHeight="1">
      <c r="F967" s="14"/>
      <c r="K967" s="14"/>
      <c r="L967" s="14"/>
      <c r="P967" s="14"/>
      <c r="T967" s="14"/>
      <c r="U967" s="14"/>
      <c r="V967" s="14"/>
      <c r="W967" s="14"/>
      <c r="AA967" s="14"/>
    </row>
    <row r="968" ht="15.75" customHeight="1">
      <c r="F968" s="14"/>
      <c r="K968" s="14"/>
      <c r="L968" s="14"/>
      <c r="P968" s="14"/>
      <c r="T968" s="14"/>
      <c r="U968" s="14"/>
      <c r="V968" s="14"/>
      <c r="W968" s="14"/>
      <c r="AA968" s="14"/>
    </row>
    <row r="969" ht="15.75" customHeight="1">
      <c r="F969" s="14"/>
      <c r="K969" s="14"/>
      <c r="L969" s="14"/>
      <c r="P969" s="14"/>
      <c r="T969" s="14"/>
      <c r="U969" s="14"/>
      <c r="V969" s="14"/>
      <c r="W969" s="14"/>
      <c r="AA969" s="14"/>
    </row>
    <row r="970" ht="15.75" customHeight="1">
      <c r="F970" s="14"/>
      <c r="K970" s="14"/>
      <c r="L970" s="14"/>
      <c r="P970" s="14"/>
      <c r="T970" s="14"/>
      <c r="U970" s="14"/>
      <c r="V970" s="14"/>
      <c r="W970" s="14"/>
      <c r="AA970" s="14"/>
    </row>
    <row r="971" ht="15.75" customHeight="1">
      <c r="F971" s="14"/>
      <c r="K971" s="14"/>
      <c r="L971" s="14"/>
      <c r="P971" s="14"/>
      <c r="T971" s="14"/>
      <c r="U971" s="14"/>
      <c r="V971" s="14"/>
      <c r="W971" s="14"/>
      <c r="AA971" s="14"/>
    </row>
    <row r="972" ht="15.75" customHeight="1">
      <c r="F972" s="14"/>
      <c r="K972" s="14"/>
      <c r="L972" s="14"/>
      <c r="P972" s="14"/>
      <c r="T972" s="14"/>
      <c r="U972" s="14"/>
      <c r="V972" s="14"/>
      <c r="W972" s="14"/>
      <c r="AA972" s="14"/>
    </row>
    <row r="973" ht="15.75" customHeight="1">
      <c r="F973" s="14"/>
      <c r="K973" s="14"/>
      <c r="L973" s="14"/>
      <c r="P973" s="14"/>
      <c r="T973" s="14"/>
      <c r="U973" s="14"/>
      <c r="V973" s="14"/>
      <c r="W973" s="14"/>
      <c r="AA973" s="14"/>
    </row>
    <row r="974" ht="15.75" customHeight="1">
      <c r="F974" s="14"/>
      <c r="K974" s="14"/>
      <c r="L974" s="14"/>
      <c r="P974" s="14"/>
      <c r="T974" s="14"/>
      <c r="U974" s="14"/>
      <c r="V974" s="14"/>
      <c r="W974" s="14"/>
      <c r="AA974" s="14"/>
    </row>
    <row r="975" ht="15.75" customHeight="1">
      <c r="F975" s="14"/>
      <c r="K975" s="14"/>
      <c r="L975" s="14"/>
      <c r="P975" s="14"/>
      <c r="T975" s="14"/>
      <c r="U975" s="14"/>
      <c r="V975" s="14"/>
      <c r="W975" s="14"/>
      <c r="AA975" s="14"/>
    </row>
    <row r="976" ht="15.75" customHeight="1">
      <c r="F976" s="14"/>
      <c r="K976" s="14"/>
      <c r="L976" s="14"/>
      <c r="P976" s="14"/>
      <c r="T976" s="14"/>
      <c r="U976" s="14"/>
      <c r="V976" s="14"/>
      <c r="W976" s="14"/>
      <c r="AA976" s="14"/>
    </row>
    <row r="977" ht="15.75" customHeight="1">
      <c r="F977" s="14"/>
      <c r="K977" s="14"/>
      <c r="L977" s="14"/>
      <c r="P977" s="14"/>
      <c r="T977" s="14"/>
      <c r="U977" s="14"/>
      <c r="V977" s="14"/>
      <c r="W977" s="14"/>
      <c r="AA977" s="14"/>
    </row>
    <row r="978" ht="15.75" customHeight="1">
      <c r="F978" s="14"/>
      <c r="K978" s="14"/>
      <c r="L978" s="14"/>
      <c r="P978" s="14"/>
      <c r="T978" s="14"/>
      <c r="U978" s="14"/>
      <c r="V978" s="14"/>
      <c r="W978" s="14"/>
      <c r="AA978" s="14"/>
    </row>
    <row r="979" ht="15.75" customHeight="1">
      <c r="F979" s="14"/>
      <c r="K979" s="14"/>
      <c r="L979" s="14"/>
      <c r="P979" s="14"/>
      <c r="T979" s="14"/>
      <c r="U979" s="14"/>
      <c r="V979" s="14"/>
      <c r="W979" s="14"/>
      <c r="AA979" s="14"/>
    </row>
    <row r="980" ht="15.75" customHeight="1">
      <c r="F980" s="14"/>
      <c r="K980" s="14"/>
      <c r="L980" s="14"/>
      <c r="P980" s="14"/>
      <c r="T980" s="14"/>
      <c r="U980" s="14"/>
      <c r="V980" s="14"/>
      <c r="W980" s="14"/>
      <c r="AA980" s="14"/>
    </row>
    <row r="981" ht="15.75" customHeight="1">
      <c r="F981" s="14"/>
      <c r="K981" s="14"/>
      <c r="L981" s="14"/>
      <c r="P981" s="14"/>
      <c r="T981" s="14"/>
      <c r="U981" s="14"/>
      <c r="V981" s="14"/>
      <c r="W981" s="14"/>
      <c r="AA981" s="14"/>
    </row>
    <row r="982" ht="15.75" customHeight="1">
      <c r="F982" s="14"/>
      <c r="K982" s="14"/>
      <c r="L982" s="14"/>
      <c r="P982" s="14"/>
      <c r="T982" s="14"/>
      <c r="U982" s="14"/>
      <c r="V982" s="14"/>
      <c r="W982" s="14"/>
      <c r="AA982" s="14"/>
    </row>
    <row r="983" ht="15.75" customHeight="1">
      <c r="F983" s="14"/>
      <c r="K983" s="14"/>
      <c r="L983" s="14"/>
      <c r="P983" s="14"/>
      <c r="T983" s="14"/>
      <c r="U983" s="14"/>
      <c r="V983" s="14"/>
      <c r="W983" s="14"/>
      <c r="AA983" s="14"/>
    </row>
    <row r="984" ht="15.75" customHeight="1">
      <c r="F984" s="14"/>
      <c r="K984" s="14"/>
      <c r="L984" s="14"/>
      <c r="P984" s="14"/>
      <c r="T984" s="14"/>
      <c r="U984" s="14"/>
      <c r="V984" s="14"/>
      <c r="W984" s="14"/>
      <c r="AA984" s="14"/>
    </row>
    <row r="985" ht="15.75" customHeight="1">
      <c r="F985" s="14"/>
      <c r="K985" s="14"/>
      <c r="L985" s="14"/>
      <c r="P985" s="14"/>
      <c r="T985" s="14"/>
      <c r="U985" s="14"/>
      <c r="V985" s="14"/>
      <c r="W985" s="14"/>
      <c r="AA985" s="14"/>
    </row>
    <row r="986" ht="15.75" customHeight="1">
      <c r="F986" s="14"/>
      <c r="K986" s="14"/>
      <c r="L986" s="14"/>
      <c r="P986" s="14"/>
      <c r="T986" s="14"/>
      <c r="U986" s="14"/>
      <c r="V986" s="14"/>
      <c r="W986" s="14"/>
      <c r="AA986" s="14"/>
    </row>
    <row r="987" ht="15.75" customHeight="1">
      <c r="F987" s="14"/>
      <c r="K987" s="14"/>
      <c r="L987" s="14"/>
      <c r="P987" s="14"/>
      <c r="T987" s="14"/>
      <c r="U987" s="14"/>
      <c r="V987" s="14"/>
      <c r="W987" s="14"/>
      <c r="AA987" s="14"/>
    </row>
    <row r="988" ht="15.75" customHeight="1">
      <c r="F988" s="14"/>
      <c r="K988" s="14"/>
      <c r="L988" s="14"/>
      <c r="P988" s="14"/>
      <c r="T988" s="14"/>
      <c r="U988" s="14"/>
      <c r="V988" s="14"/>
      <c r="W988" s="14"/>
      <c r="AA988" s="14"/>
    </row>
    <row r="989" ht="15.75" customHeight="1">
      <c r="F989" s="14"/>
      <c r="K989" s="14"/>
      <c r="L989" s="14"/>
      <c r="P989" s="14"/>
      <c r="T989" s="14"/>
      <c r="U989" s="14"/>
      <c r="V989" s="14"/>
      <c r="W989" s="14"/>
      <c r="AA989" s="14"/>
    </row>
    <row r="990" ht="15.75" customHeight="1">
      <c r="F990" s="14"/>
      <c r="K990" s="14"/>
      <c r="L990" s="14"/>
      <c r="P990" s="14"/>
      <c r="T990" s="14"/>
      <c r="U990" s="14"/>
      <c r="V990" s="14"/>
      <c r="W990" s="14"/>
      <c r="AA990" s="14"/>
    </row>
    <row r="991" ht="15.75" customHeight="1">
      <c r="F991" s="14"/>
      <c r="K991" s="14"/>
      <c r="L991" s="14"/>
      <c r="P991" s="14"/>
      <c r="T991" s="14"/>
      <c r="U991" s="14"/>
      <c r="V991" s="14"/>
      <c r="W991" s="14"/>
      <c r="AA991" s="14"/>
    </row>
    <row r="992" ht="15.75" customHeight="1">
      <c r="F992" s="14"/>
      <c r="K992" s="14"/>
      <c r="L992" s="14"/>
      <c r="P992" s="14"/>
      <c r="T992" s="14"/>
      <c r="U992" s="14"/>
      <c r="V992" s="14"/>
      <c r="W992" s="14"/>
      <c r="AA992" s="14"/>
    </row>
    <row r="993" ht="15.75" customHeight="1">
      <c r="F993" s="14"/>
      <c r="K993" s="14"/>
      <c r="L993" s="14"/>
      <c r="P993" s="14"/>
      <c r="T993" s="14"/>
      <c r="U993" s="14"/>
      <c r="V993" s="14"/>
      <c r="W993" s="14"/>
      <c r="AA993" s="14"/>
    </row>
    <row r="994" ht="15.75" customHeight="1">
      <c r="F994" s="14"/>
      <c r="K994" s="14"/>
      <c r="L994" s="14"/>
      <c r="P994" s="14"/>
      <c r="T994" s="14"/>
      <c r="U994" s="14"/>
      <c r="V994" s="14"/>
      <c r="W994" s="14"/>
      <c r="AA994" s="14"/>
    </row>
    <row r="995" ht="15.75" customHeight="1">
      <c r="F995" s="14"/>
      <c r="K995" s="14"/>
      <c r="L995" s="14"/>
      <c r="P995" s="14"/>
      <c r="T995" s="14"/>
      <c r="U995" s="14"/>
      <c r="V995" s="14"/>
      <c r="W995" s="14"/>
      <c r="AA995" s="14"/>
    </row>
    <row r="996" ht="15.75" customHeight="1">
      <c r="F996" s="14"/>
      <c r="K996" s="14"/>
      <c r="L996" s="14"/>
      <c r="P996" s="14"/>
      <c r="T996" s="14"/>
      <c r="U996" s="14"/>
      <c r="V996" s="14"/>
      <c r="W996" s="14"/>
      <c r="AA996" s="14"/>
    </row>
    <row r="997" ht="15.75" customHeight="1">
      <c r="F997" s="14"/>
      <c r="K997" s="14"/>
      <c r="L997" s="14"/>
      <c r="P997" s="14"/>
      <c r="T997" s="14"/>
      <c r="U997" s="14"/>
      <c r="V997" s="14"/>
      <c r="W997" s="14"/>
      <c r="AA997" s="14"/>
    </row>
    <row r="998" ht="15.75" customHeight="1">
      <c r="F998" s="14"/>
      <c r="K998" s="14"/>
      <c r="L998" s="14"/>
      <c r="P998" s="14"/>
      <c r="T998" s="14"/>
      <c r="U998" s="14"/>
      <c r="V998" s="14"/>
      <c r="W998" s="14"/>
      <c r="AA998" s="14"/>
    </row>
    <row r="999" ht="15.75" customHeight="1">
      <c r="F999" s="14"/>
      <c r="K999" s="14"/>
      <c r="L999" s="14"/>
      <c r="P999" s="14"/>
      <c r="T999" s="14"/>
      <c r="U999" s="14"/>
      <c r="V999" s="14"/>
      <c r="W999" s="14"/>
      <c r="AA999" s="14"/>
    </row>
    <row r="1000" ht="15.75" customHeight="1">
      <c r="F1000" s="14"/>
      <c r="K1000" s="14"/>
      <c r="L1000" s="14"/>
      <c r="P1000" s="14"/>
      <c r="T1000" s="14"/>
      <c r="U1000" s="14"/>
      <c r="V1000" s="14"/>
      <c r="W1000" s="14"/>
      <c r="AA1000" s="14"/>
    </row>
    <row r="1001" ht="15.75" customHeight="1">
      <c r="F1001" s="14"/>
      <c r="K1001" s="14"/>
      <c r="L1001" s="14"/>
      <c r="P1001" s="14"/>
      <c r="T1001" s="14"/>
      <c r="U1001" s="14"/>
      <c r="V1001" s="14"/>
      <c r="W1001" s="14"/>
      <c r="AA1001" s="14"/>
    </row>
    <row r="1002" ht="15.75" customHeight="1">
      <c r="F1002" s="14"/>
      <c r="K1002" s="14"/>
      <c r="L1002" s="14"/>
      <c r="P1002" s="14"/>
      <c r="T1002" s="14"/>
      <c r="U1002" s="14"/>
      <c r="V1002" s="14"/>
      <c r="W1002" s="14"/>
      <c r="AA1002" s="14"/>
    </row>
    <row r="1003" ht="15.75" customHeight="1">
      <c r="F1003" s="14"/>
      <c r="K1003" s="14"/>
      <c r="L1003" s="14"/>
      <c r="P1003" s="14"/>
      <c r="T1003" s="14"/>
      <c r="U1003" s="14"/>
      <c r="V1003" s="14"/>
      <c r="W1003" s="14"/>
      <c r="AA1003" s="14"/>
    </row>
    <row r="1004" ht="15.75" customHeight="1">
      <c r="F1004" s="14"/>
      <c r="K1004" s="14"/>
      <c r="L1004" s="14"/>
      <c r="P1004" s="14"/>
      <c r="T1004" s="14"/>
      <c r="U1004" s="14"/>
      <c r="V1004" s="14"/>
      <c r="W1004" s="14"/>
      <c r="AA1004" s="14"/>
    </row>
    <row r="1005" ht="15.75" customHeight="1">
      <c r="F1005" s="14"/>
      <c r="K1005" s="14"/>
      <c r="L1005" s="14"/>
      <c r="P1005" s="14"/>
      <c r="T1005" s="14"/>
      <c r="U1005" s="14"/>
      <c r="V1005" s="14"/>
      <c r="W1005" s="14"/>
      <c r="AA1005" s="14"/>
    </row>
    <row r="1006" ht="15.75" customHeight="1">
      <c r="F1006" s="14"/>
      <c r="K1006" s="14"/>
      <c r="L1006" s="14"/>
      <c r="P1006" s="14"/>
      <c r="T1006" s="14"/>
      <c r="U1006" s="14"/>
      <c r="V1006" s="14"/>
      <c r="W1006" s="14"/>
      <c r="AA1006" s="14"/>
    </row>
    <row r="1007" ht="15.75" customHeight="1">
      <c r="F1007" s="14"/>
      <c r="K1007" s="14"/>
      <c r="L1007" s="14"/>
      <c r="P1007" s="14"/>
      <c r="T1007" s="14"/>
      <c r="U1007" s="14"/>
      <c r="V1007" s="14"/>
      <c r="W1007" s="14"/>
      <c r="AA1007" s="14"/>
    </row>
    <row r="1008" ht="15.75" customHeight="1">
      <c r="F1008" s="14"/>
      <c r="K1008" s="14"/>
      <c r="L1008" s="14"/>
      <c r="P1008" s="14"/>
      <c r="T1008" s="14"/>
      <c r="U1008" s="14"/>
      <c r="V1008" s="14"/>
      <c r="W1008" s="14"/>
      <c r="AA1008" s="14"/>
    </row>
  </sheetData>
  <conditionalFormatting sqref="K2:K1008">
    <cfRule type="expression" dxfId="4" priority="1">
      <formula>K2="Hot"</formula>
    </cfRule>
  </conditionalFormatting>
  <conditionalFormatting sqref="K2:K1008">
    <cfRule type="expression" dxfId="5" priority="2">
      <formula>K2="Warm"</formula>
    </cfRule>
  </conditionalFormatting>
  <conditionalFormatting sqref="K2:K1008">
    <cfRule type="expression" dxfId="6" priority="3">
      <formula>K2="Cold"</formula>
    </cfRule>
  </conditionalFormatting>
  <conditionalFormatting sqref="L2:L1008">
    <cfRule type="expression" dxfId="7" priority="4">
      <formula>L2="High"</formula>
    </cfRule>
  </conditionalFormatting>
  <conditionalFormatting sqref="AA2:AA1008">
    <cfRule type="expression" dxfId="8" priority="5">
      <formula>AA2="Escalated"</formula>
    </cfRule>
  </conditionalFormatting>
  <dataValidations>
    <dataValidation type="list" allowBlank="1" sqref="K2:K1008">
      <formula1>Lists!$B$2:$B$4</formula1>
    </dataValidation>
    <dataValidation type="list" allowBlank="1" sqref="V2:V1008">
      <formula1>Lists!$F$2:$F$5</formula1>
    </dataValidation>
    <dataValidation type="list" allowBlank="1" sqref="P2:P1008">
      <formula1>Lists!$I$2:$I$4</formula1>
    </dataValidation>
    <dataValidation type="list" allowBlank="1" sqref="AA2:AA1008">
      <formula1>Lists!$H$2:$H$3</formula1>
    </dataValidation>
    <dataValidation type="list" allowBlank="1" sqref="L2:L1008">
      <formula1>Lists!$C$2:$C$4</formula1>
    </dataValidation>
    <dataValidation type="list" allowBlank="1" sqref="T2:T1008">
      <formula1>Lists!$D$2:$D$6</formula1>
    </dataValidation>
    <dataValidation type="list" allowBlank="1" sqref="F2:F1008">
      <formula1>Lists!$A$2:$A$5</formula1>
    </dataValidation>
    <dataValidation type="list" allowBlank="1" sqref="U2:U1008">
      <formula1>Lists!$E$2:$E$5</formula1>
    </dataValidation>
    <dataValidation type="list" allowBlank="1" sqref="W2:W1008">
      <formula1>Lists!$G$2:$G$5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3" width="20.0"/>
    <col customWidth="1" min="4" max="4" width="40.0"/>
    <col customWidth="1" min="5" max="5" width="18.0"/>
    <col customWidth="1" min="6" max="6" width="16.0"/>
    <col customWidth="1" min="7" max="7" width="53.38"/>
    <col customWidth="1" min="8" max="26" width="8.63"/>
  </cols>
  <sheetData>
    <row r="1">
      <c r="A1" s="1" t="s">
        <v>83</v>
      </c>
      <c r="B1" s="1" t="s">
        <v>0</v>
      </c>
      <c r="C1" s="1" t="s">
        <v>84</v>
      </c>
      <c r="D1" s="1" t="s">
        <v>85</v>
      </c>
      <c r="E1" s="1" t="s">
        <v>86</v>
      </c>
      <c r="F1" s="1" t="s">
        <v>87</v>
      </c>
      <c r="G1" s="15" t="s">
        <v>88</v>
      </c>
    </row>
    <row r="2">
      <c r="A2" s="16" t="s">
        <v>89</v>
      </c>
      <c r="B2" s="6" t="s">
        <v>27</v>
      </c>
      <c r="C2" s="6" t="s">
        <v>90</v>
      </c>
      <c r="D2" s="6" t="s">
        <v>91</v>
      </c>
      <c r="E2" s="6" t="s">
        <v>37</v>
      </c>
      <c r="F2" s="6" t="s">
        <v>92</v>
      </c>
      <c r="G2" s="17"/>
    </row>
    <row r="3">
      <c r="A3" s="18">
        <v>46183.60244212963</v>
      </c>
      <c r="B3" s="2" t="s">
        <v>93</v>
      </c>
      <c r="C3" s="2" t="s">
        <v>94</v>
      </c>
      <c r="D3" s="2" t="s">
        <v>95</v>
      </c>
      <c r="E3" s="2" t="s">
        <v>37</v>
      </c>
      <c r="F3" s="2" t="s">
        <v>92</v>
      </c>
      <c r="G3" s="2" t="s">
        <v>96</v>
      </c>
    </row>
    <row r="4">
      <c r="A4" s="18">
        <v>46183.60255787037</v>
      </c>
      <c r="B4" s="2" t="s">
        <v>93</v>
      </c>
      <c r="C4" s="2" t="s">
        <v>97</v>
      </c>
      <c r="D4" s="2" t="s">
        <v>98</v>
      </c>
      <c r="E4" s="2" t="s">
        <v>37</v>
      </c>
      <c r="F4" s="2" t="s">
        <v>92</v>
      </c>
      <c r="G4" s="2" t="s">
        <v>99</v>
      </c>
    </row>
    <row r="5">
      <c r="A5" s="19">
        <v>46183.612962962965</v>
      </c>
      <c r="B5" s="20" t="s">
        <v>93</v>
      </c>
      <c r="C5" s="20" t="s">
        <v>100</v>
      </c>
      <c r="D5" s="20" t="s">
        <v>101</v>
      </c>
      <c r="E5" s="20" t="s">
        <v>37</v>
      </c>
      <c r="F5" s="20" t="s">
        <v>92</v>
      </c>
      <c r="G5" s="20" t="s">
        <v>102</v>
      </c>
    </row>
    <row r="6">
      <c r="A6" s="18">
        <v>46183.73118055556</v>
      </c>
      <c r="B6" s="2" t="s">
        <v>93</v>
      </c>
      <c r="C6" s="2" t="s">
        <v>103</v>
      </c>
      <c r="D6" s="2" t="s">
        <v>104</v>
      </c>
      <c r="E6" s="2" t="s">
        <v>37</v>
      </c>
      <c r="F6" s="2" t="s">
        <v>92</v>
      </c>
      <c r="G6" s="2" t="s">
        <v>105</v>
      </c>
    </row>
    <row r="7">
      <c r="A7" s="18">
        <v>46183.73832175926</v>
      </c>
      <c r="B7" s="2" t="s">
        <v>93</v>
      </c>
      <c r="C7" s="2" t="s">
        <v>103</v>
      </c>
      <c r="D7" s="2" t="s">
        <v>104</v>
      </c>
      <c r="E7" s="2" t="s">
        <v>37</v>
      </c>
      <c r="F7" s="2" t="s">
        <v>92</v>
      </c>
      <c r="G7" s="2" t="s">
        <v>105</v>
      </c>
    </row>
    <row r="8">
      <c r="A8" s="18">
        <v>46184.61832175926</v>
      </c>
      <c r="B8" s="2" t="s">
        <v>93</v>
      </c>
      <c r="C8" s="2" t="s">
        <v>106</v>
      </c>
      <c r="D8" s="2" t="s">
        <v>107</v>
      </c>
      <c r="E8" s="2" t="s">
        <v>37</v>
      </c>
      <c r="F8" s="2" t="s">
        <v>92</v>
      </c>
      <c r="G8" s="2" t="s">
        <v>108</v>
      </c>
    </row>
    <row r="9">
      <c r="A9" s="18">
        <v>46184.73458333333</v>
      </c>
      <c r="B9" s="2" t="s">
        <v>44</v>
      </c>
      <c r="C9" s="2" t="s">
        <v>94</v>
      </c>
      <c r="D9" s="2" t="s">
        <v>95</v>
      </c>
      <c r="E9" s="2" t="s">
        <v>37</v>
      </c>
      <c r="F9" s="2" t="s">
        <v>92</v>
      </c>
      <c r="G9" s="2" t="s">
        <v>96</v>
      </c>
    </row>
    <row r="10">
      <c r="A10" s="18">
        <v>46184.734618055554</v>
      </c>
      <c r="B10" s="2" t="s">
        <v>44</v>
      </c>
      <c r="C10" s="2" t="s">
        <v>97</v>
      </c>
      <c r="D10" s="2" t="s">
        <v>109</v>
      </c>
      <c r="E10" s="2" t="s">
        <v>37</v>
      </c>
      <c r="F10" s="2" t="s">
        <v>92</v>
      </c>
      <c r="G10" s="2" t="s">
        <v>99</v>
      </c>
    </row>
    <row r="11">
      <c r="A11" s="18">
        <v>46184.734664351854</v>
      </c>
      <c r="B11" s="2" t="s">
        <v>44</v>
      </c>
      <c r="C11" s="2" t="s">
        <v>100</v>
      </c>
      <c r="D11" s="2" t="s">
        <v>110</v>
      </c>
      <c r="E11" s="2" t="s">
        <v>37</v>
      </c>
      <c r="F11" s="2" t="s">
        <v>92</v>
      </c>
      <c r="G11" s="2" t="s">
        <v>102</v>
      </c>
    </row>
    <row r="12">
      <c r="A12" s="18">
        <v>46184.73795138889</v>
      </c>
      <c r="B12" s="2" t="s">
        <v>51</v>
      </c>
      <c r="C12" s="2" t="s">
        <v>94</v>
      </c>
      <c r="D12" s="2" t="s">
        <v>111</v>
      </c>
      <c r="E12" s="2" t="s">
        <v>59</v>
      </c>
      <c r="F12" s="2" t="s">
        <v>92</v>
      </c>
      <c r="G12" s="2" t="s">
        <v>96</v>
      </c>
    </row>
    <row r="13">
      <c r="A13" s="18">
        <v>46184.737974537034</v>
      </c>
      <c r="B13" s="2" t="s">
        <v>51</v>
      </c>
      <c r="C13" s="2" t="s">
        <v>97</v>
      </c>
      <c r="D13" s="2" t="s">
        <v>112</v>
      </c>
      <c r="E13" s="2" t="s">
        <v>59</v>
      </c>
      <c r="F13" s="2" t="s">
        <v>92</v>
      </c>
      <c r="G13" s="2" t="s">
        <v>99</v>
      </c>
    </row>
    <row r="14">
      <c r="A14" s="18">
        <v>46184.738020833334</v>
      </c>
      <c r="B14" s="2" t="s">
        <v>51</v>
      </c>
      <c r="C14" s="2" t="s">
        <v>100</v>
      </c>
      <c r="D14" s="2" t="s">
        <v>113</v>
      </c>
      <c r="E14" s="2" t="s">
        <v>59</v>
      </c>
      <c r="F14" s="2" t="s">
        <v>92</v>
      </c>
      <c r="G14" s="2" t="s">
        <v>102</v>
      </c>
    </row>
    <row r="15">
      <c r="A15" s="18">
        <v>46184.73899305556</v>
      </c>
      <c r="B15" s="2" t="s">
        <v>62</v>
      </c>
      <c r="C15" s="2" t="s">
        <v>94</v>
      </c>
      <c r="D15" s="2" t="s">
        <v>111</v>
      </c>
      <c r="E15" s="2" t="s">
        <v>59</v>
      </c>
      <c r="F15" s="2" t="s">
        <v>92</v>
      </c>
      <c r="G15" s="2" t="s">
        <v>96</v>
      </c>
    </row>
    <row r="16">
      <c r="A16" s="18">
        <v>46184.73902777778</v>
      </c>
      <c r="B16" s="2" t="s">
        <v>62</v>
      </c>
      <c r="C16" s="2" t="s">
        <v>97</v>
      </c>
      <c r="D16" s="2" t="s">
        <v>114</v>
      </c>
      <c r="E16" s="2" t="s">
        <v>59</v>
      </c>
      <c r="F16" s="2" t="s">
        <v>92</v>
      </c>
      <c r="G16" s="2" t="s">
        <v>99</v>
      </c>
    </row>
    <row r="17">
      <c r="A17" s="18">
        <v>46184.7390625</v>
      </c>
      <c r="B17" s="2" t="s">
        <v>62</v>
      </c>
      <c r="C17" s="2" t="s">
        <v>100</v>
      </c>
      <c r="D17" s="2" t="s">
        <v>115</v>
      </c>
      <c r="E17" s="2" t="s">
        <v>59</v>
      </c>
      <c r="F17" s="2" t="s">
        <v>92</v>
      </c>
      <c r="G17" s="2" t="s">
        <v>102</v>
      </c>
    </row>
    <row r="18">
      <c r="A18" s="18">
        <v>46184.73944444444</v>
      </c>
      <c r="B18" s="2" t="s">
        <v>72</v>
      </c>
      <c r="C18" s="2" t="s">
        <v>94</v>
      </c>
      <c r="D18" s="2" t="s">
        <v>116</v>
      </c>
      <c r="E18" s="2" t="s">
        <v>81</v>
      </c>
      <c r="F18" s="2" t="s">
        <v>92</v>
      </c>
      <c r="G18" s="2" t="s">
        <v>96</v>
      </c>
    </row>
    <row r="19">
      <c r="A19" s="18">
        <v>46184.73946759259</v>
      </c>
      <c r="B19" s="2" t="s">
        <v>72</v>
      </c>
      <c r="C19" s="2" t="s">
        <v>97</v>
      </c>
      <c r="D19" s="2" t="s">
        <v>117</v>
      </c>
      <c r="E19" s="2" t="s">
        <v>81</v>
      </c>
      <c r="F19" s="2" t="s">
        <v>92</v>
      </c>
      <c r="G19" s="2" t="s">
        <v>99</v>
      </c>
    </row>
    <row r="20">
      <c r="A20" s="18">
        <v>46184.73951388889</v>
      </c>
      <c r="B20" s="2" t="s">
        <v>72</v>
      </c>
      <c r="C20" s="2" t="s">
        <v>100</v>
      </c>
      <c r="D20" s="2" t="s">
        <v>118</v>
      </c>
      <c r="E20" s="2" t="s">
        <v>81</v>
      </c>
      <c r="F20" s="2" t="s">
        <v>92</v>
      </c>
      <c r="G20" s="2" t="s">
        <v>102</v>
      </c>
    </row>
    <row r="21" ht="15.75" customHeight="1">
      <c r="A21" s="18">
        <v>46184.74188657408</v>
      </c>
      <c r="B21" s="2" t="s">
        <v>93</v>
      </c>
      <c r="C21" s="2" t="s">
        <v>103</v>
      </c>
      <c r="D21" s="2" t="s">
        <v>104</v>
      </c>
      <c r="E21" s="2" t="s">
        <v>37</v>
      </c>
      <c r="F21" s="2" t="s">
        <v>92</v>
      </c>
      <c r="G21" s="2" t="s">
        <v>105</v>
      </c>
    </row>
    <row r="22" ht="15.75" customHeight="1">
      <c r="A22" s="18">
        <v>46184.74188657408</v>
      </c>
      <c r="B22" s="2" t="s">
        <v>44</v>
      </c>
      <c r="C22" s="2" t="s">
        <v>103</v>
      </c>
      <c r="D22" s="2" t="s">
        <v>119</v>
      </c>
      <c r="E22" s="2" t="s">
        <v>37</v>
      </c>
      <c r="F22" s="2" t="s">
        <v>92</v>
      </c>
      <c r="G22" s="2" t="s">
        <v>105</v>
      </c>
    </row>
    <row r="23" ht="15.75" customHeight="1">
      <c r="A23" s="18">
        <v>46184.74188657408</v>
      </c>
      <c r="B23" s="2" t="s">
        <v>51</v>
      </c>
      <c r="C23" s="2" t="s">
        <v>103</v>
      </c>
      <c r="D23" s="2" t="s">
        <v>120</v>
      </c>
      <c r="E23" s="2" t="s">
        <v>59</v>
      </c>
      <c r="F23" s="2" t="s">
        <v>92</v>
      </c>
      <c r="G23" s="2" t="s">
        <v>105</v>
      </c>
    </row>
    <row r="24" ht="15.75" customHeight="1">
      <c r="A24" s="18">
        <v>46184.74188657408</v>
      </c>
      <c r="B24" s="2" t="s">
        <v>62</v>
      </c>
      <c r="C24" s="2" t="s">
        <v>103</v>
      </c>
      <c r="D24" s="2" t="s">
        <v>121</v>
      </c>
      <c r="E24" s="2" t="s">
        <v>59</v>
      </c>
      <c r="F24" s="2" t="s">
        <v>92</v>
      </c>
      <c r="G24" s="2" t="s">
        <v>105</v>
      </c>
    </row>
    <row r="25" ht="15.75" customHeight="1">
      <c r="A25" s="18">
        <v>46184.74188657408</v>
      </c>
      <c r="B25" s="2" t="s">
        <v>72</v>
      </c>
      <c r="C25" s="2" t="s">
        <v>103</v>
      </c>
      <c r="D25" s="2" t="s">
        <v>122</v>
      </c>
      <c r="E25" s="2" t="s">
        <v>81</v>
      </c>
      <c r="F25" s="2" t="s">
        <v>92</v>
      </c>
      <c r="G25" s="2" t="s">
        <v>105</v>
      </c>
    </row>
    <row r="26" ht="15.75" customHeight="1">
      <c r="A26" s="16"/>
      <c r="B26" s="6"/>
      <c r="C26" s="6"/>
      <c r="D26" s="6"/>
      <c r="E26" s="6"/>
      <c r="F26" s="6"/>
      <c r="G26" s="17"/>
    </row>
    <row r="27" ht="15.75" customHeight="1">
      <c r="A27" s="16"/>
      <c r="B27" s="6"/>
      <c r="C27" s="6"/>
      <c r="D27" s="6"/>
      <c r="E27" s="6"/>
      <c r="F27" s="6"/>
      <c r="G27" s="17"/>
    </row>
    <row r="28" ht="15.75" customHeight="1">
      <c r="A28" s="16"/>
      <c r="B28" s="6"/>
      <c r="C28" s="6"/>
      <c r="D28" s="6"/>
      <c r="E28" s="6"/>
      <c r="F28" s="6"/>
      <c r="G28" s="17"/>
    </row>
    <row r="29" ht="15.75" customHeight="1">
      <c r="A29" s="16"/>
      <c r="B29" s="6"/>
      <c r="C29" s="6"/>
      <c r="D29" s="6"/>
      <c r="E29" s="6"/>
      <c r="F29" s="6"/>
      <c r="G29" s="17"/>
    </row>
    <row r="30" ht="15.75" customHeight="1">
      <c r="A30" s="16"/>
      <c r="B30" s="6"/>
      <c r="C30" s="6"/>
      <c r="D30" s="6"/>
      <c r="E30" s="6"/>
      <c r="F30" s="6"/>
      <c r="G30" s="17"/>
    </row>
    <row r="31" ht="15.75" customHeight="1">
      <c r="A31" s="16"/>
      <c r="B31" s="6"/>
      <c r="C31" s="6"/>
      <c r="D31" s="6"/>
      <c r="E31" s="6"/>
      <c r="F31" s="6"/>
      <c r="G31" s="17"/>
    </row>
    <row r="32" ht="15.75" customHeight="1">
      <c r="A32" s="16"/>
      <c r="B32" s="6"/>
      <c r="C32" s="6"/>
      <c r="D32" s="6"/>
      <c r="E32" s="6"/>
      <c r="F32" s="6"/>
      <c r="G32" s="17"/>
    </row>
    <row r="33" ht="15.75" customHeight="1">
      <c r="A33" s="16"/>
      <c r="B33" s="6"/>
      <c r="C33" s="6"/>
      <c r="D33" s="6"/>
      <c r="E33" s="6"/>
      <c r="F33" s="6"/>
      <c r="G33" s="17"/>
    </row>
    <row r="34" ht="15.75" customHeight="1">
      <c r="A34" s="16"/>
      <c r="B34" s="6"/>
      <c r="C34" s="6"/>
      <c r="D34" s="6"/>
      <c r="E34" s="6"/>
      <c r="F34" s="6"/>
      <c r="G34" s="17"/>
    </row>
    <row r="35" ht="15.75" customHeight="1">
      <c r="A35" s="16"/>
      <c r="B35" s="6"/>
      <c r="C35" s="6"/>
      <c r="D35" s="6"/>
      <c r="E35" s="6"/>
      <c r="F35" s="6"/>
      <c r="G35" s="17"/>
    </row>
    <row r="36" ht="15.75" customHeight="1">
      <c r="A36" s="16"/>
      <c r="B36" s="6"/>
      <c r="C36" s="6"/>
      <c r="D36" s="6"/>
      <c r="E36" s="6"/>
      <c r="F36" s="6"/>
      <c r="G36" s="17"/>
    </row>
    <row r="37" ht="15.75" customHeight="1">
      <c r="A37" s="16"/>
      <c r="B37" s="6"/>
      <c r="C37" s="6"/>
      <c r="D37" s="6"/>
      <c r="E37" s="6"/>
      <c r="F37" s="6"/>
      <c r="G37" s="17"/>
    </row>
    <row r="38" ht="15.75" customHeight="1">
      <c r="A38" s="16"/>
      <c r="B38" s="6"/>
      <c r="C38" s="6"/>
      <c r="D38" s="6"/>
      <c r="E38" s="6"/>
      <c r="F38" s="6"/>
      <c r="G38" s="17"/>
    </row>
    <row r="39" ht="15.75" customHeight="1">
      <c r="A39" s="16"/>
      <c r="B39" s="6"/>
      <c r="C39" s="6"/>
      <c r="D39" s="6"/>
      <c r="E39" s="6"/>
      <c r="F39" s="6"/>
      <c r="G39" s="17"/>
    </row>
    <row r="40" ht="15.75" customHeight="1">
      <c r="A40" s="16"/>
      <c r="B40" s="6"/>
      <c r="C40" s="6"/>
      <c r="D40" s="6"/>
      <c r="E40" s="6"/>
      <c r="F40" s="6"/>
      <c r="G40" s="17"/>
    </row>
    <row r="41" ht="15.75" customHeight="1">
      <c r="A41" s="16"/>
      <c r="B41" s="6"/>
      <c r="C41" s="6"/>
      <c r="D41" s="6"/>
      <c r="E41" s="6"/>
      <c r="F41" s="6"/>
      <c r="G41" s="17"/>
    </row>
    <row r="42" ht="15.75" customHeight="1">
      <c r="A42" s="16"/>
      <c r="B42" s="6"/>
      <c r="C42" s="6"/>
      <c r="D42" s="6"/>
      <c r="E42" s="6"/>
      <c r="F42" s="6"/>
      <c r="G42" s="17"/>
    </row>
    <row r="43" ht="15.75" customHeight="1">
      <c r="A43" s="16"/>
      <c r="B43" s="6"/>
      <c r="C43" s="6"/>
      <c r="D43" s="6"/>
      <c r="E43" s="6"/>
      <c r="F43" s="6"/>
      <c r="G43" s="17"/>
    </row>
    <row r="44" ht="15.75" customHeight="1">
      <c r="A44" s="16"/>
      <c r="B44" s="6"/>
      <c r="C44" s="6"/>
      <c r="D44" s="6"/>
      <c r="E44" s="6"/>
      <c r="F44" s="6"/>
      <c r="G44" s="17"/>
    </row>
    <row r="45" ht="15.75" customHeight="1">
      <c r="A45" s="16"/>
      <c r="B45" s="6"/>
      <c r="C45" s="6"/>
      <c r="D45" s="6"/>
      <c r="E45" s="6"/>
      <c r="F45" s="6"/>
      <c r="G45" s="17"/>
    </row>
    <row r="46" ht="15.75" customHeight="1">
      <c r="A46" s="16"/>
      <c r="B46" s="6"/>
      <c r="C46" s="6"/>
      <c r="D46" s="6"/>
      <c r="E46" s="6"/>
      <c r="F46" s="6"/>
      <c r="G46" s="17"/>
    </row>
    <row r="47" ht="15.75" customHeight="1">
      <c r="A47" s="16"/>
      <c r="B47" s="6"/>
      <c r="C47" s="6"/>
      <c r="D47" s="6"/>
      <c r="E47" s="6"/>
      <c r="F47" s="6"/>
      <c r="G47" s="17"/>
    </row>
    <row r="48" ht="15.75" customHeight="1">
      <c r="A48" s="16"/>
      <c r="B48" s="6"/>
      <c r="C48" s="6"/>
      <c r="D48" s="6"/>
      <c r="E48" s="6"/>
      <c r="F48" s="6"/>
      <c r="G48" s="17"/>
    </row>
    <row r="49" ht="15.75" customHeight="1">
      <c r="A49" s="16"/>
      <c r="B49" s="6"/>
      <c r="C49" s="6"/>
      <c r="D49" s="6"/>
      <c r="E49" s="6"/>
      <c r="F49" s="6"/>
      <c r="G49" s="17"/>
    </row>
    <row r="50" ht="15.75" customHeight="1">
      <c r="A50" s="16"/>
      <c r="B50" s="6"/>
      <c r="C50" s="6"/>
      <c r="D50" s="6"/>
      <c r="E50" s="6"/>
      <c r="F50" s="6"/>
      <c r="G50" s="17"/>
    </row>
    <row r="51" ht="15.75" customHeight="1">
      <c r="A51" s="16"/>
      <c r="B51" s="6"/>
      <c r="C51" s="6"/>
      <c r="D51" s="6"/>
      <c r="E51" s="6"/>
      <c r="F51" s="6"/>
      <c r="G51" s="17"/>
    </row>
    <row r="52" ht="15.75" customHeight="1">
      <c r="A52" s="16"/>
      <c r="B52" s="6"/>
      <c r="C52" s="6"/>
      <c r="D52" s="6"/>
      <c r="E52" s="6"/>
      <c r="F52" s="6"/>
      <c r="G52" s="17"/>
    </row>
    <row r="53" ht="15.75" customHeight="1">
      <c r="A53" s="16"/>
      <c r="B53" s="6"/>
      <c r="C53" s="6"/>
      <c r="D53" s="6"/>
      <c r="E53" s="6"/>
      <c r="F53" s="6"/>
      <c r="G53" s="17"/>
    </row>
    <row r="54" ht="15.75" customHeight="1">
      <c r="A54" s="16"/>
      <c r="B54" s="6"/>
      <c r="C54" s="6"/>
      <c r="D54" s="6"/>
      <c r="E54" s="6"/>
      <c r="F54" s="6"/>
      <c r="G54" s="17"/>
    </row>
    <row r="55" ht="15.75" customHeight="1">
      <c r="A55" s="16"/>
      <c r="B55" s="6"/>
      <c r="C55" s="6"/>
      <c r="D55" s="6"/>
      <c r="E55" s="6"/>
      <c r="F55" s="6"/>
      <c r="G55" s="17"/>
    </row>
    <row r="56" ht="15.75" customHeight="1">
      <c r="A56" s="16"/>
      <c r="B56" s="6"/>
      <c r="C56" s="6"/>
      <c r="D56" s="6"/>
      <c r="E56" s="6"/>
      <c r="F56" s="6"/>
      <c r="G56" s="17"/>
    </row>
    <row r="57" ht="15.75" customHeight="1">
      <c r="A57" s="16"/>
      <c r="B57" s="6"/>
      <c r="C57" s="6"/>
      <c r="D57" s="6"/>
      <c r="E57" s="6"/>
      <c r="F57" s="6"/>
      <c r="G57" s="17"/>
    </row>
    <row r="58" ht="15.75" customHeight="1">
      <c r="A58" s="16"/>
      <c r="B58" s="6"/>
      <c r="C58" s="6"/>
      <c r="D58" s="6"/>
      <c r="E58" s="6"/>
      <c r="F58" s="6"/>
      <c r="G58" s="17"/>
    </row>
    <row r="59" ht="15.75" customHeight="1">
      <c r="A59" s="16"/>
      <c r="B59" s="6"/>
      <c r="C59" s="6"/>
      <c r="D59" s="6"/>
      <c r="E59" s="6"/>
      <c r="F59" s="6"/>
      <c r="G59" s="17"/>
    </row>
    <row r="60" ht="15.75" customHeight="1">
      <c r="A60" s="16"/>
      <c r="B60" s="6"/>
      <c r="C60" s="6"/>
      <c r="D60" s="6"/>
      <c r="E60" s="6"/>
      <c r="F60" s="6"/>
      <c r="G60" s="17"/>
    </row>
    <row r="61" ht="15.75" customHeight="1">
      <c r="A61" s="16"/>
      <c r="B61" s="6"/>
      <c r="C61" s="6"/>
      <c r="D61" s="6"/>
      <c r="E61" s="6"/>
      <c r="F61" s="6"/>
      <c r="G61" s="17"/>
    </row>
    <row r="62" ht="15.75" customHeight="1">
      <c r="A62" s="16"/>
      <c r="B62" s="6"/>
      <c r="C62" s="6"/>
      <c r="D62" s="6"/>
      <c r="E62" s="6"/>
      <c r="F62" s="6"/>
      <c r="G62" s="17"/>
    </row>
    <row r="63" ht="15.75" customHeight="1">
      <c r="A63" s="16"/>
      <c r="B63" s="6"/>
      <c r="C63" s="6"/>
      <c r="D63" s="6"/>
      <c r="E63" s="6"/>
      <c r="F63" s="6"/>
      <c r="G63" s="17"/>
    </row>
    <row r="64" ht="15.75" customHeight="1">
      <c r="A64" s="16"/>
      <c r="B64" s="6"/>
      <c r="C64" s="6"/>
      <c r="D64" s="6"/>
      <c r="E64" s="6"/>
      <c r="F64" s="6"/>
      <c r="G64" s="17"/>
    </row>
    <row r="65" ht="15.75" customHeight="1">
      <c r="A65" s="16"/>
      <c r="B65" s="6"/>
      <c r="C65" s="6"/>
      <c r="D65" s="6"/>
      <c r="E65" s="6"/>
      <c r="F65" s="6"/>
      <c r="G65" s="17"/>
    </row>
    <row r="66" ht="15.75" customHeight="1">
      <c r="A66" s="16"/>
      <c r="B66" s="6"/>
      <c r="C66" s="6"/>
      <c r="D66" s="6"/>
      <c r="E66" s="6"/>
      <c r="F66" s="6"/>
      <c r="G66" s="17"/>
    </row>
    <row r="67" ht="15.75" customHeight="1">
      <c r="A67" s="16"/>
      <c r="B67" s="6"/>
      <c r="C67" s="6"/>
      <c r="D67" s="6"/>
      <c r="E67" s="6"/>
      <c r="F67" s="6"/>
      <c r="G67" s="17"/>
    </row>
    <row r="68" ht="15.75" customHeight="1">
      <c r="A68" s="16"/>
      <c r="B68" s="6"/>
      <c r="C68" s="6"/>
      <c r="D68" s="6"/>
      <c r="E68" s="6"/>
      <c r="F68" s="6"/>
      <c r="G68" s="17"/>
    </row>
    <row r="69" ht="15.75" customHeight="1">
      <c r="A69" s="16"/>
      <c r="B69" s="6"/>
      <c r="C69" s="6"/>
      <c r="D69" s="6"/>
      <c r="E69" s="6"/>
      <c r="F69" s="6"/>
      <c r="G69" s="17"/>
    </row>
    <row r="70" ht="15.75" customHeight="1">
      <c r="A70" s="16"/>
      <c r="B70" s="6"/>
      <c r="C70" s="6"/>
      <c r="D70" s="6"/>
      <c r="E70" s="6"/>
      <c r="F70" s="6"/>
      <c r="G70" s="17"/>
    </row>
    <row r="71" ht="15.75" customHeight="1">
      <c r="A71" s="16"/>
      <c r="B71" s="6"/>
      <c r="C71" s="6"/>
      <c r="D71" s="6"/>
      <c r="E71" s="6"/>
      <c r="F71" s="6"/>
      <c r="G71" s="17"/>
    </row>
    <row r="72" ht="15.75" customHeight="1">
      <c r="A72" s="16"/>
      <c r="B72" s="6"/>
      <c r="C72" s="6"/>
      <c r="D72" s="6"/>
      <c r="E72" s="6"/>
      <c r="F72" s="6"/>
      <c r="G72" s="17"/>
    </row>
    <row r="73" ht="15.75" customHeight="1">
      <c r="A73" s="16"/>
      <c r="B73" s="6"/>
      <c r="C73" s="6"/>
      <c r="D73" s="6"/>
      <c r="E73" s="6"/>
      <c r="F73" s="6"/>
      <c r="G73" s="17"/>
    </row>
    <row r="74" ht="15.75" customHeight="1">
      <c r="A74" s="16"/>
      <c r="B74" s="6"/>
      <c r="C74" s="6"/>
      <c r="D74" s="6"/>
      <c r="E74" s="6"/>
      <c r="F74" s="6"/>
      <c r="G74" s="17"/>
    </row>
    <row r="75" ht="15.75" customHeight="1">
      <c r="A75" s="16"/>
      <c r="B75" s="6"/>
      <c r="C75" s="6"/>
      <c r="D75" s="6"/>
      <c r="E75" s="6"/>
      <c r="F75" s="6"/>
      <c r="G75" s="17"/>
    </row>
    <row r="76" ht="15.75" customHeight="1">
      <c r="A76" s="16"/>
      <c r="B76" s="6"/>
      <c r="C76" s="6"/>
      <c r="D76" s="6"/>
      <c r="E76" s="6"/>
      <c r="F76" s="6"/>
      <c r="G76" s="17"/>
    </row>
    <row r="77" ht="15.75" customHeight="1">
      <c r="A77" s="16"/>
      <c r="B77" s="6"/>
      <c r="C77" s="6"/>
      <c r="D77" s="6"/>
      <c r="E77" s="6"/>
      <c r="F77" s="6"/>
      <c r="G77" s="17"/>
    </row>
    <row r="78" ht="15.75" customHeight="1">
      <c r="A78" s="16"/>
      <c r="B78" s="6"/>
      <c r="C78" s="6"/>
      <c r="D78" s="6"/>
      <c r="E78" s="6"/>
      <c r="F78" s="6"/>
      <c r="G78" s="17"/>
    </row>
    <row r="79" ht="15.75" customHeight="1">
      <c r="A79" s="16"/>
      <c r="B79" s="6"/>
      <c r="C79" s="6"/>
      <c r="D79" s="6"/>
      <c r="E79" s="6"/>
      <c r="F79" s="6"/>
      <c r="G79" s="17"/>
    </row>
    <row r="80" ht="15.75" customHeight="1">
      <c r="A80" s="16"/>
      <c r="B80" s="6"/>
      <c r="C80" s="6"/>
      <c r="D80" s="6"/>
      <c r="E80" s="6"/>
      <c r="F80" s="6"/>
      <c r="G80" s="17"/>
    </row>
    <row r="81" ht="15.75" customHeight="1">
      <c r="A81" s="16"/>
      <c r="B81" s="6"/>
      <c r="C81" s="6"/>
      <c r="D81" s="6"/>
      <c r="E81" s="6"/>
      <c r="F81" s="6"/>
      <c r="G81" s="17"/>
    </row>
    <row r="82" ht="15.75" customHeight="1">
      <c r="A82" s="16"/>
      <c r="B82" s="6"/>
      <c r="C82" s="6"/>
      <c r="D82" s="6"/>
      <c r="E82" s="6"/>
      <c r="F82" s="6"/>
      <c r="G82" s="17"/>
    </row>
    <row r="83" ht="15.75" customHeight="1">
      <c r="A83" s="16"/>
      <c r="B83" s="6"/>
      <c r="C83" s="6"/>
      <c r="D83" s="6"/>
      <c r="E83" s="6"/>
      <c r="F83" s="6"/>
      <c r="G83" s="17"/>
    </row>
    <row r="84" ht="15.75" customHeight="1">
      <c r="A84" s="16"/>
      <c r="B84" s="6"/>
      <c r="C84" s="6"/>
      <c r="D84" s="6"/>
      <c r="E84" s="6"/>
      <c r="F84" s="6"/>
      <c r="G84" s="17"/>
    </row>
    <row r="85" ht="15.75" customHeight="1">
      <c r="A85" s="16"/>
      <c r="B85" s="6"/>
      <c r="C85" s="6"/>
      <c r="D85" s="6"/>
      <c r="E85" s="6"/>
      <c r="F85" s="6"/>
      <c r="G85" s="17"/>
    </row>
    <row r="86" ht="15.75" customHeight="1">
      <c r="A86" s="16"/>
      <c r="B86" s="6"/>
      <c r="C86" s="6"/>
      <c r="D86" s="6"/>
      <c r="E86" s="6"/>
      <c r="F86" s="6"/>
      <c r="G86" s="17"/>
    </row>
    <row r="87" ht="15.75" customHeight="1">
      <c r="A87" s="16"/>
      <c r="B87" s="6"/>
      <c r="C87" s="6"/>
      <c r="D87" s="6"/>
      <c r="E87" s="6"/>
      <c r="F87" s="6"/>
      <c r="G87" s="17"/>
    </row>
    <row r="88" ht="15.75" customHeight="1">
      <c r="A88" s="16"/>
      <c r="B88" s="6"/>
      <c r="C88" s="6"/>
      <c r="D88" s="6"/>
      <c r="E88" s="6"/>
      <c r="F88" s="6"/>
      <c r="G88" s="17"/>
    </row>
    <row r="89" ht="15.75" customHeight="1">
      <c r="A89" s="16"/>
      <c r="B89" s="6"/>
      <c r="C89" s="6"/>
      <c r="D89" s="6"/>
      <c r="E89" s="6"/>
      <c r="F89" s="6"/>
      <c r="G89" s="17"/>
    </row>
    <row r="90" ht="15.75" customHeight="1">
      <c r="A90" s="16"/>
      <c r="B90" s="6"/>
      <c r="C90" s="6"/>
      <c r="D90" s="6"/>
      <c r="E90" s="6"/>
      <c r="F90" s="6"/>
      <c r="G90" s="17"/>
    </row>
    <row r="91" ht="15.75" customHeight="1">
      <c r="A91" s="16"/>
      <c r="B91" s="6"/>
      <c r="C91" s="6"/>
      <c r="D91" s="6"/>
      <c r="E91" s="6"/>
      <c r="F91" s="6"/>
      <c r="G91" s="17"/>
    </row>
    <row r="92" ht="15.75" customHeight="1">
      <c r="A92" s="16"/>
      <c r="B92" s="6"/>
      <c r="C92" s="6"/>
      <c r="D92" s="6"/>
      <c r="E92" s="6"/>
      <c r="F92" s="6"/>
      <c r="G92" s="17"/>
    </row>
    <row r="93" ht="15.75" customHeight="1">
      <c r="A93" s="16"/>
      <c r="B93" s="6"/>
      <c r="C93" s="6"/>
      <c r="D93" s="6"/>
      <c r="E93" s="6"/>
      <c r="F93" s="6"/>
      <c r="G93" s="17"/>
    </row>
    <row r="94" ht="15.75" customHeight="1">
      <c r="A94" s="16"/>
      <c r="B94" s="6"/>
      <c r="C94" s="6"/>
      <c r="D94" s="6"/>
      <c r="E94" s="6"/>
      <c r="F94" s="6"/>
      <c r="G94" s="17"/>
    </row>
    <row r="95" ht="15.75" customHeight="1">
      <c r="A95" s="16"/>
      <c r="B95" s="6"/>
      <c r="C95" s="6"/>
      <c r="D95" s="6"/>
      <c r="E95" s="6"/>
      <c r="F95" s="6"/>
      <c r="G95" s="17"/>
    </row>
    <row r="96" ht="15.75" customHeight="1">
      <c r="A96" s="16"/>
      <c r="B96" s="6"/>
      <c r="C96" s="6"/>
      <c r="D96" s="6"/>
      <c r="E96" s="6"/>
      <c r="F96" s="6"/>
      <c r="G96" s="17"/>
    </row>
    <row r="97" ht="15.75" customHeight="1">
      <c r="A97" s="16"/>
      <c r="B97" s="6"/>
      <c r="C97" s="6"/>
      <c r="D97" s="6"/>
      <c r="E97" s="6"/>
      <c r="F97" s="6"/>
      <c r="G97" s="17"/>
    </row>
    <row r="98" ht="15.75" customHeight="1">
      <c r="A98" s="16"/>
      <c r="B98" s="6"/>
      <c r="C98" s="6"/>
      <c r="D98" s="6"/>
      <c r="E98" s="6"/>
      <c r="F98" s="6"/>
      <c r="G98" s="17"/>
    </row>
    <row r="99" ht="15.75" customHeight="1">
      <c r="A99" s="16"/>
      <c r="B99" s="6"/>
      <c r="C99" s="6"/>
      <c r="D99" s="6"/>
      <c r="E99" s="6"/>
      <c r="F99" s="6"/>
      <c r="G99" s="17"/>
    </row>
    <row r="100" ht="15.75" customHeight="1">
      <c r="A100" s="16"/>
      <c r="B100" s="6"/>
      <c r="C100" s="6"/>
      <c r="D100" s="6"/>
      <c r="E100" s="6"/>
      <c r="F100" s="6"/>
      <c r="G100" s="17"/>
    </row>
    <row r="101" ht="15.75" customHeight="1">
      <c r="A101" s="21"/>
      <c r="B101" s="10"/>
      <c r="C101" s="10"/>
      <c r="D101" s="10"/>
      <c r="E101" s="10"/>
      <c r="F101" s="10"/>
      <c r="G101" s="10"/>
    </row>
    <row r="102" ht="15.75" customHeight="1">
      <c r="A102" s="21"/>
      <c r="B102" s="10"/>
      <c r="C102" s="10"/>
      <c r="D102" s="10"/>
      <c r="E102" s="10"/>
      <c r="F102" s="10"/>
      <c r="G102" s="10"/>
    </row>
    <row r="103" ht="15.75" customHeight="1">
      <c r="A103" s="21"/>
      <c r="B103" s="10"/>
      <c r="C103" s="10"/>
      <c r="D103" s="10"/>
      <c r="E103" s="10"/>
      <c r="F103" s="10"/>
      <c r="G103" s="10"/>
    </row>
    <row r="104" ht="15.75" customHeight="1">
      <c r="A104" s="21"/>
      <c r="B104" s="10"/>
      <c r="C104" s="10"/>
      <c r="D104" s="10"/>
      <c r="E104" s="10"/>
      <c r="F104" s="10"/>
      <c r="G104" s="10"/>
    </row>
    <row r="105" ht="15.75" customHeight="1">
      <c r="A105" s="21"/>
      <c r="B105" s="10"/>
      <c r="C105" s="10"/>
      <c r="D105" s="10"/>
      <c r="E105" s="10"/>
      <c r="F105" s="10"/>
      <c r="G105" s="10"/>
    </row>
    <row r="106" ht="15.75" customHeight="1">
      <c r="A106" s="21"/>
      <c r="B106" s="10"/>
      <c r="C106" s="10"/>
      <c r="D106" s="10"/>
      <c r="E106" s="10"/>
      <c r="F106" s="10"/>
      <c r="G106" s="10"/>
    </row>
    <row r="107" ht="15.75" customHeight="1">
      <c r="A107" s="21"/>
      <c r="B107" s="10"/>
      <c r="C107" s="10"/>
      <c r="D107" s="10"/>
      <c r="E107" s="10"/>
      <c r="F107" s="10"/>
      <c r="G107" s="10"/>
    </row>
    <row r="108" ht="15.75" customHeight="1">
      <c r="A108" s="21"/>
      <c r="B108" s="10"/>
      <c r="C108" s="10"/>
      <c r="D108" s="10"/>
      <c r="E108" s="10"/>
      <c r="F108" s="10"/>
      <c r="G108" s="10"/>
    </row>
    <row r="109" ht="15.75" customHeight="1">
      <c r="A109" s="21"/>
      <c r="B109" s="10"/>
      <c r="C109" s="10"/>
      <c r="D109" s="10"/>
      <c r="E109" s="10"/>
      <c r="F109" s="10"/>
      <c r="G109" s="10"/>
    </row>
    <row r="110" ht="15.75" customHeight="1">
      <c r="A110" s="21"/>
      <c r="B110" s="10"/>
      <c r="C110" s="10"/>
      <c r="D110" s="10"/>
      <c r="E110" s="10"/>
      <c r="F110" s="10"/>
      <c r="G110" s="10"/>
    </row>
    <row r="111" ht="15.75" customHeight="1">
      <c r="A111" s="21"/>
      <c r="B111" s="10"/>
      <c r="C111" s="10"/>
      <c r="D111" s="10"/>
      <c r="E111" s="10"/>
      <c r="F111" s="10"/>
      <c r="G111" s="10"/>
    </row>
    <row r="112" ht="15.75" customHeight="1">
      <c r="A112" s="21"/>
      <c r="B112" s="10"/>
      <c r="C112" s="10"/>
      <c r="D112" s="10"/>
      <c r="E112" s="10"/>
      <c r="F112" s="10"/>
      <c r="G112" s="10"/>
    </row>
    <row r="113" ht="15.75" customHeight="1">
      <c r="A113" s="21"/>
      <c r="B113" s="10"/>
      <c r="C113" s="10"/>
      <c r="D113" s="10"/>
      <c r="E113" s="10"/>
      <c r="F113" s="10"/>
      <c r="G113" s="10"/>
    </row>
    <row r="114" ht="15.75" customHeight="1">
      <c r="A114" s="21"/>
      <c r="B114" s="10"/>
      <c r="C114" s="10"/>
      <c r="D114" s="10"/>
      <c r="E114" s="10"/>
      <c r="F114" s="10"/>
      <c r="G114" s="10"/>
    </row>
    <row r="115" ht="15.75" customHeight="1">
      <c r="A115" s="21"/>
      <c r="B115" s="10"/>
      <c r="C115" s="10"/>
      <c r="D115" s="10"/>
      <c r="E115" s="10"/>
      <c r="F115" s="10"/>
      <c r="G115" s="10"/>
    </row>
    <row r="116" ht="15.75" customHeight="1">
      <c r="A116" s="21"/>
      <c r="B116" s="10"/>
      <c r="C116" s="10"/>
      <c r="D116" s="10"/>
      <c r="E116" s="10"/>
      <c r="F116" s="10"/>
      <c r="G116" s="10"/>
    </row>
    <row r="117" ht="15.75" customHeight="1">
      <c r="A117" s="21"/>
      <c r="B117" s="10"/>
      <c r="C117" s="10"/>
      <c r="D117" s="10"/>
      <c r="E117" s="10"/>
      <c r="F117" s="10"/>
      <c r="G117" s="10"/>
    </row>
    <row r="118" ht="15.75" customHeight="1">
      <c r="A118" s="21"/>
      <c r="B118" s="10"/>
      <c r="C118" s="10"/>
      <c r="D118" s="10"/>
      <c r="E118" s="10"/>
      <c r="F118" s="10"/>
      <c r="G118" s="10"/>
    </row>
    <row r="119" ht="15.75" customHeight="1">
      <c r="A119" s="21"/>
      <c r="B119" s="10"/>
      <c r="C119" s="10"/>
      <c r="D119" s="10"/>
      <c r="E119" s="10"/>
      <c r="F119" s="10"/>
      <c r="G119" s="10"/>
    </row>
    <row r="120" ht="15.75" customHeight="1">
      <c r="A120" s="21"/>
      <c r="B120" s="10"/>
      <c r="C120" s="10"/>
      <c r="D120" s="10"/>
      <c r="E120" s="10"/>
      <c r="F120" s="10"/>
      <c r="G120" s="10"/>
    </row>
    <row r="121" ht="15.75" customHeight="1">
      <c r="A121" s="21"/>
      <c r="B121" s="10"/>
      <c r="C121" s="10"/>
      <c r="D121" s="10"/>
      <c r="E121" s="10"/>
      <c r="F121" s="10"/>
      <c r="G121" s="10"/>
    </row>
    <row r="122" ht="15.75" customHeight="1">
      <c r="A122" s="21"/>
      <c r="B122" s="10"/>
      <c r="C122" s="10"/>
      <c r="D122" s="10"/>
      <c r="E122" s="10"/>
      <c r="F122" s="10"/>
      <c r="G122" s="10"/>
    </row>
    <row r="123" ht="15.75" customHeight="1">
      <c r="A123" s="21"/>
      <c r="B123" s="10"/>
      <c r="C123" s="10"/>
      <c r="D123" s="10"/>
      <c r="E123" s="10"/>
      <c r="F123" s="10"/>
      <c r="G123" s="10"/>
    </row>
    <row r="124" ht="15.75" customHeight="1">
      <c r="A124" s="21"/>
      <c r="B124" s="10"/>
      <c r="C124" s="10"/>
      <c r="D124" s="10"/>
      <c r="E124" s="10"/>
      <c r="F124" s="10"/>
      <c r="G124" s="10"/>
    </row>
    <row r="125" ht="15.75" customHeight="1">
      <c r="A125" s="21"/>
      <c r="B125" s="10"/>
      <c r="C125" s="10"/>
      <c r="D125" s="10"/>
      <c r="E125" s="10"/>
      <c r="F125" s="10"/>
      <c r="G125" s="10"/>
    </row>
    <row r="126" ht="15.75" customHeight="1">
      <c r="A126" s="21"/>
      <c r="B126" s="10"/>
      <c r="C126" s="10"/>
      <c r="D126" s="10"/>
      <c r="E126" s="10"/>
      <c r="F126" s="10"/>
      <c r="G126" s="10"/>
    </row>
    <row r="127" ht="15.75" customHeight="1">
      <c r="A127" s="21"/>
      <c r="B127" s="10"/>
      <c r="C127" s="10"/>
      <c r="D127" s="10"/>
      <c r="E127" s="10"/>
      <c r="F127" s="10"/>
      <c r="G127" s="10"/>
    </row>
    <row r="128" ht="15.75" customHeight="1">
      <c r="A128" s="21"/>
      <c r="B128" s="10"/>
      <c r="C128" s="10"/>
      <c r="D128" s="10"/>
      <c r="E128" s="10"/>
      <c r="F128" s="10"/>
      <c r="G128" s="10"/>
    </row>
    <row r="129" ht="15.75" customHeight="1">
      <c r="A129" s="21"/>
      <c r="B129" s="10"/>
      <c r="C129" s="10"/>
      <c r="D129" s="10"/>
      <c r="E129" s="10"/>
      <c r="F129" s="10"/>
      <c r="G129" s="10"/>
    </row>
    <row r="130" ht="15.75" customHeight="1">
      <c r="A130" s="21"/>
      <c r="B130" s="10"/>
      <c r="C130" s="10"/>
      <c r="D130" s="10"/>
      <c r="E130" s="10"/>
      <c r="F130" s="10"/>
      <c r="G130" s="10"/>
    </row>
    <row r="131" ht="15.75" customHeight="1">
      <c r="A131" s="21"/>
      <c r="B131" s="10"/>
      <c r="C131" s="10"/>
      <c r="D131" s="10"/>
      <c r="E131" s="10"/>
      <c r="F131" s="10"/>
      <c r="G131" s="10"/>
    </row>
    <row r="132" ht="15.75" customHeight="1">
      <c r="A132" s="21"/>
      <c r="B132" s="10"/>
      <c r="C132" s="10"/>
      <c r="D132" s="10"/>
      <c r="E132" s="10"/>
      <c r="F132" s="10"/>
      <c r="G132" s="10"/>
    </row>
    <row r="133" ht="15.75" customHeight="1">
      <c r="A133" s="21"/>
      <c r="B133" s="10"/>
      <c r="C133" s="10"/>
      <c r="D133" s="10"/>
      <c r="E133" s="10"/>
      <c r="F133" s="10"/>
      <c r="G133" s="10"/>
    </row>
    <row r="134" ht="15.75" customHeight="1">
      <c r="A134" s="21"/>
      <c r="B134" s="10"/>
      <c r="C134" s="10"/>
      <c r="D134" s="10"/>
      <c r="E134" s="10"/>
      <c r="F134" s="10"/>
      <c r="G134" s="10"/>
    </row>
    <row r="135" ht="15.75" customHeight="1">
      <c r="A135" s="21"/>
      <c r="B135" s="10"/>
      <c r="C135" s="10"/>
      <c r="D135" s="10"/>
      <c r="E135" s="10"/>
      <c r="F135" s="10"/>
      <c r="G135" s="10"/>
    </row>
    <row r="136" ht="15.75" customHeight="1">
      <c r="A136" s="21"/>
      <c r="B136" s="10"/>
      <c r="C136" s="10"/>
      <c r="D136" s="10"/>
      <c r="E136" s="10"/>
      <c r="F136" s="10"/>
      <c r="G136" s="10"/>
    </row>
    <row r="137" ht="15.75" customHeight="1">
      <c r="A137" s="21"/>
      <c r="B137" s="10"/>
      <c r="C137" s="10"/>
      <c r="D137" s="10"/>
      <c r="E137" s="10"/>
      <c r="F137" s="10"/>
      <c r="G137" s="10"/>
    </row>
    <row r="138" ht="15.75" customHeight="1">
      <c r="A138" s="21"/>
      <c r="B138" s="10"/>
      <c r="C138" s="10"/>
      <c r="D138" s="10"/>
      <c r="E138" s="10"/>
      <c r="F138" s="10"/>
      <c r="G138" s="10"/>
    </row>
    <row r="139" ht="15.75" customHeight="1">
      <c r="A139" s="21"/>
      <c r="B139" s="10"/>
      <c r="C139" s="10"/>
      <c r="D139" s="10"/>
      <c r="E139" s="10"/>
      <c r="F139" s="10"/>
      <c r="G139" s="10"/>
    </row>
    <row r="140" ht="15.75" customHeight="1">
      <c r="A140" s="21"/>
      <c r="B140" s="10"/>
      <c r="C140" s="10"/>
      <c r="D140" s="10"/>
      <c r="E140" s="10"/>
      <c r="F140" s="10"/>
      <c r="G140" s="10"/>
    </row>
    <row r="141" ht="15.75" customHeight="1">
      <c r="A141" s="21"/>
      <c r="B141" s="10"/>
      <c r="C141" s="10"/>
      <c r="D141" s="10"/>
      <c r="E141" s="10"/>
      <c r="F141" s="10"/>
      <c r="G141" s="10"/>
    </row>
    <row r="142" ht="15.75" customHeight="1">
      <c r="A142" s="21"/>
      <c r="B142" s="10"/>
      <c r="C142" s="10"/>
      <c r="D142" s="10"/>
      <c r="E142" s="10"/>
      <c r="F142" s="10"/>
      <c r="G142" s="10"/>
    </row>
    <row r="143" ht="15.75" customHeight="1">
      <c r="A143" s="21"/>
      <c r="B143" s="10"/>
      <c r="C143" s="10"/>
      <c r="D143" s="10"/>
      <c r="E143" s="10"/>
      <c r="F143" s="10"/>
      <c r="G143" s="10"/>
    </row>
    <row r="144" ht="15.75" customHeight="1">
      <c r="A144" s="21"/>
      <c r="B144" s="10"/>
      <c r="C144" s="10"/>
      <c r="D144" s="10"/>
      <c r="E144" s="10"/>
      <c r="F144" s="10"/>
      <c r="G144" s="10"/>
    </row>
    <row r="145" ht="15.75" customHeight="1">
      <c r="A145" s="21"/>
      <c r="B145" s="10"/>
      <c r="C145" s="10"/>
      <c r="D145" s="10"/>
      <c r="E145" s="10"/>
      <c r="F145" s="10"/>
      <c r="G145" s="10"/>
    </row>
    <row r="146" ht="15.75" customHeight="1">
      <c r="A146" s="21"/>
      <c r="B146" s="10"/>
      <c r="C146" s="10"/>
      <c r="D146" s="10"/>
      <c r="E146" s="10"/>
      <c r="F146" s="10"/>
      <c r="G146" s="10"/>
    </row>
    <row r="147" ht="15.75" customHeight="1">
      <c r="A147" s="21"/>
      <c r="B147" s="10"/>
      <c r="C147" s="10"/>
      <c r="D147" s="10"/>
      <c r="E147" s="10"/>
      <c r="F147" s="10"/>
      <c r="G147" s="10"/>
    </row>
    <row r="148" ht="15.75" customHeight="1">
      <c r="A148" s="21"/>
      <c r="B148" s="10"/>
      <c r="C148" s="10"/>
      <c r="D148" s="10"/>
      <c r="E148" s="10"/>
      <c r="F148" s="10"/>
      <c r="G148" s="10"/>
    </row>
    <row r="149" ht="15.75" customHeight="1">
      <c r="A149" s="21"/>
      <c r="B149" s="10"/>
      <c r="C149" s="10"/>
      <c r="D149" s="10"/>
      <c r="E149" s="10"/>
      <c r="F149" s="10"/>
      <c r="G149" s="10"/>
    </row>
    <row r="150" ht="15.75" customHeight="1">
      <c r="A150" s="21"/>
      <c r="B150" s="10"/>
      <c r="C150" s="10"/>
      <c r="D150" s="10"/>
      <c r="E150" s="10"/>
      <c r="F150" s="10"/>
      <c r="G150" s="10"/>
    </row>
    <row r="151" ht="15.75" customHeight="1">
      <c r="A151" s="21"/>
      <c r="B151" s="10"/>
      <c r="C151" s="10"/>
      <c r="D151" s="10"/>
      <c r="E151" s="10"/>
      <c r="F151" s="10"/>
      <c r="G151" s="10"/>
    </row>
    <row r="152" ht="15.75" customHeight="1">
      <c r="A152" s="21"/>
      <c r="B152" s="10"/>
      <c r="C152" s="10"/>
      <c r="D152" s="10"/>
      <c r="E152" s="10"/>
      <c r="F152" s="10"/>
      <c r="G152" s="10"/>
    </row>
    <row r="153" ht="15.75" customHeight="1">
      <c r="A153" s="21"/>
      <c r="B153" s="10"/>
      <c r="C153" s="10"/>
      <c r="D153" s="10"/>
      <c r="E153" s="10"/>
      <c r="F153" s="10"/>
      <c r="G153" s="10"/>
    </row>
    <row r="154" ht="15.75" customHeight="1">
      <c r="A154" s="21"/>
      <c r="B154" s="10"/>
      <c r="C154" s="10"/>
      <c r="D154" s="10"/>
      <c r="E154" s="10"/>
      <c r="F154" s="10"/>
      <c r="G154" s="10"/>
    </row>
    <row r="155" ht="15.75" customHeight="1">
      <c r="A155" s="21"/>
      <c r="B155" s="10"/>
      <c r="C155" s="10"/>
      <c r="D155" s="10"/>
      <c r="E155" s="10"/>
      <c r="F155" s="10"/>
      <c r="G155" s="10"/>
    </row>
    <row r="156" ht="15.75" customHeight="1">
      <c r="A156" s="21"/>
      <c r="B156" s="10"/>
      <c r="C156" s="10"/>
      <c r="D156" s="10"/>
      <c r="E156" s="10"/>
      <c r="F156" s="10"/>
      <c r="G156" s="10"/>
    </row>
    <row r="157" ht="15.75" customHeight="1">
      <c r="A157" s="21"/>
      <c r="B157" s="10"/>
      <c r="C157" s="10"/>
      <c r="D157" s="10"/>
      <c r="E157" s="10"/>
      <c r="F157" s="10"/>
      <c r="G157" s="10"/>
    </row>
    <row r="158" ht="15.75" customHeight="1">
      <c r="A158" s="21"/>
      <c r="B158" s="10"/>
      <c r="C158" s="10"/>
      <c r="D158" s="10"/>
      <c r="E158" s="10"/>
      <c r="F158" s="10"/>
      <c r="G158" s="10"/>
    </row>
    <row r="159" ht="15.75" customHeight="1">
      <c r="A159" s="21"/>
      <c r="B159" s="10"/>
      <c r="C159" s="10"/>
      <c r="D159" s="10"/>
      <c r="E159" s="10"/>
      <c r="F159" s="10"/>
      <c r="G159" s="10"/>
    </row>
    <row r="160" ht="15.75" customHeight="1">
      <c r="A160" s="21"/>
      <c r="B160" s="10"/>
      <c r="C160" s="10"/>
      <c r="D160" s="10"/>
      <c r="E160" s="10"/>
      <c r="F160" s="10"/>
      <c r="G160" s="10"/>
    </row>
    <row r="161" ht="15.75" customHeight="1">
      <c r="A161" s="21"/>
      <c r="B161" s="10"/>
      <c r="C161" s="10"/>
      <c r="D161" s="10"/>
      <c r="E161" s="10"/>
      <c r="F161" s="10"/>
      <c r="G161" s="10"/>
    </row>
    <row r="162" ht="15.75" customHeight="1">
      <c r="A162" s="21"/>
      <c r="B162" s="10"/>
      <c r="C162" s="10"/>
      <c r="D162" s="10"/>
      <c r="E162" s="10"/>
      <c r="F162" s="10"/>
      <c r="G162" s="10"/>
    </row>
    <row r="163" ht="15.75" customHeight="1">
      <c r="A163" s="21"/>
      <c r="B163" s="10"/>
      <c r="C163" s="10"/>
      <c r="D163" s="10"/>
      <c r="E163" s="10"/>
      <c r="F163" s="10"/>
      <c r="G163" s="10"/>
    </row>
    <row r="164" ht="15.75" customHeight="1">
      <c r="A164" s="21"/>
      <c r="B164" s="10"/>
      <c r="C164" s="10"/>
      <c r="D164" s="10"/>
      <c r="E164" s="10"/>
      <c r="F164" s="10"/>
      <c r="G164" s="10"/>
    </row>
    <row r="165" ht="15.75" customHeight="1">
      <c r="A165" s="21"/>
      <c r="B165" s="10"/>
      <c r="C165" s="10"/>
      <c r="D165" s="10"/>
      <c r="E165" s="10"/>
      <c r="F165" s="10"/>
      <c r="G165" s="10"/>
    </row>
    <row r="166" ht="15.75" customHeight="1">
      <c r="A166" s="21"/>
      <c r="B166" s="10"/>
      <c r="C166" s="10"/>
      <c r="D166" s="10"/>
      <c r="E166" s="10"/>
      <c r="F166" s="10"/>
      <c r="G166" s="10"/>
    </row>
    <row r="167" ht="15.75" customHeight="1">
      <c r="A167" s="21"/>
      <c r="B167" s="10"/>
      <c r="C167" s="10"/>
      <c r="D167" s="10"/>
      <c r="E167" s="10"/>
      <c r="F167" s="10"/>
      <c r="G167" s="10"/>
    </row>
    <row r="168" ht="15.75" customHeight="1">
      <c r="A168" s="21"/>
      <c r="B168" s="10"/>
      <c r="C168" s="10"/>
      <c r="D168" s="10"/>
      <c r="E168" s="10"/>
      <c r="F168" s="10"/>
      <c r="G168" s="10"/>
    </row>
    <row r="169" ht="15.75" customHeight="1">
      <c r="A169" s="21"/>
      <c r="B169" s="10"/>
      <c r="C169" s="10"/>
      <c r="D169" s="10"/>
      <c r="E169" s="10"/>
      <c r="F169" s="10"/>
      <c r="G169" s="10"/>
    </row>
    <row r="170" ht="15.75" customHeight="1">
      <c r="A170" s="21"/>
      <c r="B170" s="10"/>
      <c r="C170" s="10"/>
      <c r="D170" s="10"/>
      <c r="E170" s="10"/>
      <c r="F170" s="10"/>
      <c r="G170" s="10"/>
    </row>
    <row r="171" ht="15.75" customHeight="1">
      <c r="A171" s="21"/>
      <c r="B171" s="10"/>
      <c r="C171" s="10"/>
      <c r="D171" s="10"/>
      <c r="E171" s="10"/>
      <c r="F171" s="10"/>
      <c r="G171" s="10"/>
    </row>
    <row r="172" ht="15.75" customHeight="1">
      <c r="A172" s="21"/>
      <c r="B172" s="10"/>
      <c r="C172" s="10"/>
      <c r="D172" s="10"/>
      <c r="E172" s="10"/>
      <c r="F172" s="10"/>
      <c r="G172" s="10"/>
    </row>
    <row r="173" ht="15.75" customHeight="1">
      <c r="A173" s="21"/>
      <c r="B173" s="10"/>
      <c r="C173" s="10"/>
      <c r="D173" s="10"/>
      <c r="E173" s="10"/>
      <c r="F173" s="10"/>
      <c r="G173" s="10"/>
    </row>
    <row r="174" ht="15.75" customHeight="1">
      <c r="A174" s="21"/>
      <c r="B174" s="10"/>
      <c r="C174" s="10"/>
      <c r="D174" s="10"/>
      <c r="E174" s="10"/>
      <c r="F174" s="10"/>
      <c r="G174" s="10"/>
    </row>
    <row r="175" ht="15.75" customHeight="1">
      <c r="A175" s="21"/>
      <c r="B175" s="10"/>
      <c r="C175" s="10"/>
      <c r="D175" s="10"/>
      <c r="E175" s="10"/>
      <c r="F175" s="10"/>
      <c r="G175" s="10"/>
    </row>
    <row r="176" ht="15.75" customHeight="1">
      <c r="A176" s="21"/>
      <c r="B176" s="10"/>
      <c r="C176" s="10"/>
      <c r="D176" s="10"/>
      <c r="E176" s="10"/>
      <c r="F176" s="10"/>
      <c r="G176" s="10"/>
    </row>
    <row r="177" ht="15.75" customHeight="1">
      <c r="A177" s="21"/>
      <c r="B177" s="10"/>
      <c r="C177" s="10"/>
      <c r="D177" s="10"/>
      <c r="E177" s="10"/>
      <c r="F177" s="10"/>
      <c r="G177" s="10"/>
    </row>
    <row r="178" ht="15.75" customHeight="1">
      <c r="A178" s="21"/>
      <c r="B178" s="10"/>
      <c r="C178" s="10"/>
      <c r="D178" s="10"/>
      <c r="E178" s="10"/>
      <c r="F178" s="10"/>
      <c r="G178" s="10"/>
    </row>
    <row r="179" ht="15.75" customHeight="1">
      <c r="A179" s="21"/>
      <c r="B179" s="10"/>
      <c r="C179" s="10"/>
      <c r="D179" s="10"/>
      <c r="E179" s="10"/>
      <c r="F179" s="10"/>
      <c r="G179" s="10"/>
    </row>
    <row r="180" ht="15.75" customHeight="1">
      <c r="A180" s="21"/>
      <c r="B180" s="10"/>
      <c r="C180" s="10"/>
      <c r="D180" s="10"/>
      <c r="E180" s="10"/>
      <c r="F180" s="10"/>
      <c r="G180" s="10"/>
    </row>
    <row r="181" ht="15.75" customHeight="1">
      <c r="A181" s="21"/>
      <c r="B181" s="10"/>
      <c r="C181" s="10"/>
      <c r="D181" s="10"/>
      <c r="E181" s="10"/>
      <c r="F181" s="10"/>
      <c r="G181" s="10"/>
    </row>
    <row r="182" ht="15.75" customHeight="1">
      <c r="A182" s="21"/>
      <c r="B182" s="10"/>
      <c r="C182" s="10"/>
      <c r="D182" s="10"/>
      <c r="E182" s="10"/>
      <c r="F182" s="10"/>
      <c r="G182" s="10"/>
    </row>
    <row r="183" ht="15.75" customHeight="1">
      <c r="A183" s="21"/>
      <c r="B183" s="10"/>
      <c r="C183" s="10"/>
      <c r="D183" s="10"/>
      <c r="E183" s="10"/>
      <c r="F183" s="10"/>
      <c r="G183" s="10"/>
    </row>
    <row r="184" ht="15.75" customHeight="1">
      <c r="A184" s="21"/>
      <c r="B184" s="10"/>
      <c r="C184" s="10"/>
      <c r="D184" s="10"/>
      <c r="E184" s="10"/>
      <c r="F184" s="10"/>
      <c r="G184" s="10"/>
    </row>
    <row r="185" ht="15.75" customHeight="1">
      <c r="A185" s="21"/>
      <c r="B185" s="10"/>
      <c r="C185" s="10"/>
      <c r="D185" s="10"/>
      <c r="E185" s="10"/>
      <c r="F185" s="10"/>
      <c r="G185" s="10"/>
    </row>
    <row r="186" ht="15.75" customHeight="1">
      <c r="A186" s="21"/>
      <c r="B186" s="10"/>
      <c r="C186" s="10"/>
      <c r="D186" s="10"/>
      <c r="E186" s="10"/>
      <c r="F186" s="10"/>
      <c r="G186" s="10"/>
    </row>
    <row r="187" ht="15.75" customHeight="1">
      <c r="A187" s="21"/>
      <c r="B187" s="10"/>
      <c r="C187" s="10"/>
      <c r="D187" s="10"/>
      <c r="E187" s="10"/>
      <c r="F187" s="10"/>
      <c r="G187" s="10"/>
    </row>
    <row r="188" ht="15.75" customHeight="1">
      <c r="A188" s="21"/>
      <c r="B188" s="10"/>
      <c r="C188" s="10"/>
      <c r="D188" s="10"/>
      <c r="E188" s="10"/>
      <c r="F188" s="10"/>
      <c r="G188" s="10"/>
    </row>
    <row r="189" ht="15.75" customHeight="1">
      <c r="A189" s="21"/>
      <c r="B189" s="10"/>
      <c r="C189" s="10"/>
      <c r="D189" s="10"/>
      <c r="E189" s="10"/>
      <c r="F189" s="10"/>
      <c r="G189" s="10"/>
    </row>
    <row r="190" ht="15.75" customHeight="1">
      <c r="A190" s="21"/>
      <c r="B190" s="10"/>
      <c r="C190" s="10"/>
      <c r="D190" s="10"/>
      <c r="E190" s="10"/>
      <c r="F190" s="10"/>
      <c r="G190" s="10"/>
    </row>
    <row r="191" ht="15.75" customHeight="1">
      <c r="A191" s="21"/>
      <c r="B191" s="10"/>
      <c r="C191" s="10"/>
      <c r="D191" s="10"/>
      <c r="E191" s="10"/>
      <c r="F191" s="10"/>
      <c r="G191" s="10"/>
    </row>
    <row r="192" ht="15.75" customHeight="1">
      <c r="A192" s="21"/>
      <c r="B192" s="10"/>
      <c r="C192" s="10"/>
      <c r="D192" s="10"/>
      <c r="E192" s="10"/>
      <c r="F192" s="10"/>
      <c r="G192" s="10"/>
    </row>
    <row r="193" ht="15.75" customHeight="1">
      <c r="A193" s="21"/>
      <c r="B193" s="10"/>
      <c r="C193" s="10"/>
      <c r="D193" s="10"/>
      <c r="E193" s="10"/>
      <c r="F193" s="10"/>
      <c r="G193" s="10"/>
    </row>
    <row r="194" ht="15.75" customHeight="1">
      <c r="A194" s="21"/>
      <c r="B194" s="10"/>
      <c r="C194" s="10"/>
      <c r="D194" s="10"/>
      <c r="E194" s="10"/>
      <c r="F194" s="10"/>
      <c r="G194" s="10"/>
    </row>
    <row r="195" ht="15.75" customHeight="1">
      <c r="A195" s="21"/>
      <c r="B195" s="10"/>
      <c r="C195" s="10"/>
      <c r="D195" s="10"/>
      <c r="E195" s="10"/>
      <c r="F195" s="10"/>
      <c r="G195" s="10"/>
    </row>
    <row r="196" ht="15.75" customHeight="1">
      <c r="A196" s="21"/>
      <c r="B196" s="10"/>
      <c r="C196" s="10"/>
      <c r="D196" s="10"/>
      <c r="E196" s="10"/>
      <c r="F196" s="10"/>
      <c r="G196" s="10"/>
    </row>
    <row r="197" ht="15.75" customHeight="1">
      <c r="A197" s="21"/>
      <c r="B197" s="10"/>
      <c r="C197" s="10"/>
      <c r="D197" s="10"/>
      <c r="E197" s="10"/>
      <c r="F197" s="10"/>
      <c r="G197" s="10"/>
    </row>
    <row r="198" ht="15.75" customHeight="1">
      <c r="A198" s="21"/>
      <c r="B198" s="10"/>
      <c r="C198" s="10"/>
      <c r="D198" s="10"/>
      <c r="E198" s="10"/>
      <c r="F198" s="10"/>
      <c r="G198" s="10"/>
    </row>
    <row r="199" ht="15.75" customHeight="1">
      <c r="A199" s="21"/>
      <c r="B199" s="10"/>
      <c r="C199" s="10"/>
      <c r="D199" s="10"/>
      <c r="E199" s="10"/>
      <c r="F199" s="10"/>
      <c r="G199" s="10"/>
    </row>
    <row r="200" ht="15.75" customHeight="1">
      <c r="A200" s="21"/>
      <c r="B200" s="10"/>
      <c r="C200" s="10"/>
      <c r="D200" s="10"/>
      <c r="E200" s="10"/>
      <c r="F200" s="10"/>
      <c r="G200" s="10"/>
    </row>
    <row r="201" ht="15.75" customHeight="1">
      <c r="A201" s="21"/>
      <c r="B201" s="10"/>
      <c r="C201" s="10"/>
      <c r="D201" s="10"/>
      <c r="E201" s="10"/>
      <c r="F201" s="10"/>
      <c r="G201" s="10"/>
    </row>
    <row r="202" ht="15.75" customHeight="1">
      <c r="A202" s="21"/>
      <c r="B202" s="10"/>
      <c r="C202" s="10"/>
      <c r="D202" s="10"/>
      <c r="E202" s="10"/>
      <c r="F202" s="10"/>
      <c r="G202" s="10"/>
    </row>
    <row r="203" ht="15.75" customHeight="1">
      <c r="A203" s="21"/>
      <c r="B203" s="10"/>
      <c r="C203" s="10"/>
      <c r="D203" s="10"/>
      <c r="E203" s="10"/>
      <c r="F203" s="10"/>
      <c r="G203" s="10"/>
    </row>
    <row r="204" ht="15.75" customHeight="1">
      <c r="A204" s="21"/>
      <c r="B204" s="10"/>
      <c r="C204" s="10"/>
      <c r="D204" s="10"/>
      <c r="E204" s="10"/>
      <c r="F204" s="10"/>
      <c r="G204" s="10"/>
    </row>
    <row r="205" ht="15.75" customHeight="1">
      <c r="A205" s="21"/>
      <c r="B205" s="10"/>
      <c r="C205" s="10"/>
      <c r="D205" s="10"/>
      <c r="E205" s="10"/>
      <c r="F205" s="10"/>
      <c r="G205" s="10"/>
    </row>
    <row r="206" ht="15.75" customHeight="1">
      <c r="A206" s="21"/>
      <c r="B206" s="10"/>
      <c r="C206" s="10"/>
      <c r="D206" s="10"/>
      <c r="E206" s="10"/>
      <c r="F206" s="10"/>
      <c r="G206" s="10"/>
    </row>
    <row r="207" ht="15.75" customHeight="1">
      <c r="A207" s="21"/>
      <c r="B207" s="10"/>
      <c r="C207" s="10"/>
      <c r="D207" s="10"/>
      <c r="E207" s="10"/>
      <c r="F207" s="10"/>
      <c r="G207" s="10"/>
    </row>
    <row r="208" ht="15.75" customHeight="1">
      <c r="A208" s="21"/>
      <c r="B208" s="10"/>
      <c r="C208" s="10"/>
      <c r="D208" s="10"/>
      <c r="E208" s="10"/>
      <c r="F208" s="10"/>
      <c r="G208" s="10"/>
    </row>
    <row r="209" ht="15.75" customHeight="1">
      <c r="A209" s="21"/>
      <c r="B209" s="10"/>
      <c r="C209" s="10"/>
      <c r="D209" s="10"/>
      <c r="E209" s="10"/>
      <c r="F209" s="10"/>
      <c r="G209" s="10"/>
    </row>
    <row r="210" ht="15.75" customHeight="1">
      <c r="A210" s="21"/>
      <c r="B210" s="10"/>
      <c r="C210" s="10"/>
      <c r="D210" s="10"/>
      <c r="E210" s="10"/>
      <c r="F210" s="10"/>
      <c r="G210" s="10"/>
    </row>
    <row r="211" ht="15.75" customHeight="1">
      <c r="A211" s="21"/>
      <c r="B211" s="10"/>
      <c r="C211" s="10"/>
      <c r="D211" s="10"/>
      <c r="E211" s="10"/>
      <c r="F211" s="10"/>
      <c r="G211" s="10"/>
    </row>
    <row r="212" ht="15.75" customHeight="1">
      <c r="A212" s="21"/>
      <c r="B212" s="10"/>
      <c r="C212" s="10"/>
      <c r="D212" s="10"/>
      <c r="E212" s="10"/>
      <c r="F212" s="10"/>
      <c r="G212" s="10"/>
    </row>
    <row r="213" ht="15.75" customHeight="1">
      <c r="A213" s="21"/>
      <c r="B213" s="10"/>
      <c r="C213" s="10"/>
      <c r="D213" s="10"/>
      <c r="E213" s="10"/>
      <c r="F213" s="10"/>
      <c r="G213" s="10"/>
    </row>
    <row r="214" ht="15.75" customHeight="1">
      <c r="A214" s="21"/>
      <c r="B214" s="10"/>
      <c r="C214" s="10"/>
      <c r="D214" s="10"/>
      <c r="E214" s="10"/>
      <c r="F214" s="10"/>
      <c r="G214" s="10"/>
    </row>
    <row r="215" ht="15.75" customHeight="1">
      <c r="A215" s="21"/>
      <c r="B215" s="10"/>
      <c r="C215" s="10"/>
      <c r="D215" s="10"/>
      <c r="E215" s="10"/>
      <c r="F215" s="10"/>
      <c r="G215" s="10"/>
    </row>
    <row r="216" ht="15.75" customHeight="1">
      <c r="A216" s="21"/>
      <c r="B216" s="10"/>
      <c r="C216" s="10"/>
      <c r="D216" s="10"/>
      <c r="E216" s="10"/>
      <c r="F216" s="10"/>
      <c r="G216" s="10"/>
    </row>
    <row r="217" ht="15.75" customHeight="1">
      <c r="A217" s="21"/>
      <c r="B217" s="10"/>
      <c r="C217" s="10"/>
      <c r="D217" s="10"/>
      <c r="E217" s="10"/>
      <c r="F217" s="10"/>
      <c r="G217" s="10"/>
    </row>
    <row r="218" ht="15.75" customHeight="1">
      <c r="A218" s="21"/>
      <c r="B218" s="10"/>
      <c r="C218" s="10"/>
      <c r="D218" s="10"/>
      <c r="E218" s="10"/>
      <c r="F218" s="10"/>
      <c r="G218" s="10"/>
    </row>
    <row r="219" ht="15.75" customHeight="1">
      <c r="A219" s="21"/>
      <c r="B219" s="10"/>
      <c r="C219" s="10"/>
      <c r="D219" s="10"/>
      <c r="E219" s="10"/>
      <c r="F219" s="10"/>
      <c r="G219" s="10"/>
    </row>
    <row r="220" ht="15.75" customHeight="1">
      <c r="A220" s="21"/>
      <c r="B220" s="10"/>
      <c r="C220" s="10"/>
      <c r="D220" s="10"/>
      <c r="E220" s="10"/>
      <c r="F220" s="10"/>
      <c r="G220" s="10"/>
    </row>
    <row r="221" ht="15.75" customHeight="1">
      <c r="A221" s="22"/>
    </row>
    <row r="222" ht="15.75" customHeight="1">
      <c r="A222" s="22"/>
    </row>
    <row r="223" ht="15.75" customHeight="1">
      <c r="A223" s="22"/>
    </row>
    <row r="224" ht="15.75" customHeight="1">
      <c r="A224" s="22"/>
    </row>
    <row r="225" ht="15.75" customHeight="1">
      <c r="A225" s="22"/>
    </row>
    <row r="226" ht="15.75" customHeight="1">
      <c r="A226" s="22"/>
    </row>
    <row r="227" ht="15.75" customHeight="1">
      <c r="A227" s="22"/>
    </row>
    <row r="228" ht="15.75" customHeight="1">
      <c r="A228" s="22"/>
    </row>
    <row r="229" ht="15.75" customHeight="1">
      <c r="A229" s="22"/>
    </row>
    <row r="230" ht="15.75" customHeight="1">
      <c r="A230" s="22"/>
    </row>
    <row r="231" ht="15.75" customHeight="1">
      <c r="A231" s="22"/>
    </row>
    <row r="232" ht="15.75" customHeight="1">
      <c r="A232" s="22"/>
    </row>
    <row r="233" ht="15.75" customHeight="1">
      <c r="A233" s="22"/>
    </row>
    <row r="234" ht="15.75" customHeight="1">
      <c r="A234" s="22"/>
    </row>
    <row r="235" ht="15.75" customHeight="1">
      <c r="A235" s="22"/>
    </row>
    <row r="236" ht="15.75" customHeight="1">
      <c r="A236" s="22"/>
    </row>
    <row r="237" ht="15.75" customHeight="1">
      <c r="A237" s="22"/>
    </row>
    <row r="238" ht="15.75" customHeight="1">
      <c r="A238" s="22"/>
    </row>
    <row r="239" ht="15.75" customHeight="1">
      <c r="A239" s="22"/>
    </row>
    <row r="240" ht="15.75" customHeight="1">
      <c r="A240" s="22"/>
    </row>
    <row r="241" ht="15.75" customHeight="1">
      <c r="A241" s="22"/>
    </row>
    <row r="242" ht="15.75" customHeight="1">
      <c r="A242" s="22"/>
    </row>
    <row r="243" ht="15.75" customHeight="1">
      <c r="A243" s="22"/>
    </row>
    <row r="244" ht="15.75" customHeight="1">
      <c r="A244" s="22"/>
    </row>
    <row r="245" ht="15.75" customHeight="1">
      <c r="A245" s="22"/>
    </row>
    <row r="246" ht="15.75" customHeight="1">
      <c r="A246" s="22"/>
    </row>
    <row r="247" ht="15.75" customHeight="1">
      <c r="A247" s="22"/>
    </row>
    <row r="248" ht="15.75" customHeight="1">
      <c r="A248" s="22"/>
    </row>
    <row r="249" ht="15.75" customHeight="1">
      <c r="A249" s="22"/>
    </row>
    <row r="250" ht="15.75" customHeight="1">
      <c r="A250" s="22"/>
    </row>
    <row r="251" ht="15.75" customHeight="1">
      <c r="A251" s="22"/>
    </row>
    <row r="252" ht="15.75" customHeight="1">
      <c r="A252" s="22"/>
    </row>
    <row r="253" ht="15.75" customHeight="1">
      <c r="A253" s="22"/>
    </row>
    <row r="254" ht="15.75" customHeight="1">
      <c r="A254" s="22"/>
    </row>
    <row r="255" ht="15.75" customHeight="1">
      <c r="A255" s="22"/>
    </row>
    <row r="256" ht="15.75" customHeight="1">
      <c r="A256" s="22"/>
    </row>
    <row r="257" ht="15.75" customHeight="1">
      <c r="A257" s="22"/>
    </row>
    <row r="258" ht="15.75" customHeight="1">
      <c r="A258" s="22"/>
    </row>
    <row r="259" ht="15.75" customHeight="1">
      <c r="A259" s="22"/>
    </row>
    <row r="260" ht="15.75" customHeight="1">
      <c r="A260" s="22"/>
    </row>
    <row r="261" ht="15.75" customHeight="1">
      <c r="A261" s="22"/>
    </row>
    <row r="262" ht="15.75" customHeight="1">
      <c r="A262" s="22"/>
    </row>
    <row r="263" ht="15.75" customHeight="1">
      <c r="A263" s="22"/>
    </row>
    <row r="264" ht="15.75" customHeight="1">
      <c r="A264" s="22"/>
    </row>
    <row r="265" ht="15.75" customHeight="1">
      <c r="A265" s="22"/>
    </row>
    <row r="266" ht="15.75" customHeight="1">
      <c r="A266" s="22"/>
    </row>
    <row r="267" ht="15.75" customHeight="1">
      <c r="A267" s="22"/>
    </row>
    <row r="268" ht="15.75" customHeight="1">
      <c r="A268" s="22"/>
    </row>
    <row r="269" ht="15.75" customHeight="1">
      <c r="A269" s="22"/>
    </row>
    <row r="270" ht="15.75" customHeight="1">
      <c r="A270" s="22"/>
    </row>
    <row r="271" ht="15.75" customHeight="1">
      <c r="A271" s="22"/>
    </row>
    <row r="272" ht="15.75" customHeight="1">
      <c r="A272" s="22"/>
    </row>
    <row r="273" ht="15.75" customHeight="1">
      <c r="A273" s="22"/>
    </row>
    <row r="274" ht="15.75" customHeight="1">
      <c r="A274" s="22"/>
    </row>
    <row r="275" ht="15.75" customHeight="1">
      <c r="A275" s="22"/>
    </row>
    <row r="276" ht="15.75" customHeight="1">
      <c r="A276" s="22"/>
    </row>
    <row r="277" ht="15.75" customHeight="1">
      <c r="A277" s="22"/>
    </row>
    <row r="278" ht="15.75" customHeight="1">
      <c r="A278" s="22"/>
    </row>
    <row r="279" ht="15.75" customHeight="1">
      <c r="A279" s="22"/>
    </row>
    <row r="280" ht="15.75" customHeight="1">
      <c r="A280" s="22"/>
    </row>
    <row r="281" ht="15.75" customHeight="1">
      <c r="A281" s="22"/>
    </row>
    <row r="282" ht="15.75" customHeight="1">
      <c r="A282" s="22"/>
    </row>
    <row r="283" ht="15.75" customHeight="1">
      <c r="A283" s="22"/>
    </row>
    <row r="284" ht="15.75" customHeight="1">
      <c r="A284" s="22"/>
    </row>
    <row r="285" ht="15.75" customHeight="1">
      <c r="A285" s="22"/>
    </row>
    <row r="286" ht="15.75" customHeight="1">
      <c r="A286" s="22"/>
    </row>
    <row r="287" ht="15.75" customHeight="1">
      <c r="A287" s="22"/>
    </row>
    <row r="288" ht="15.75" customHeight="1">
      <c r="A288" s="22"/>
    </row>
    <row r="289" ht="15.75" customHeight="1">
      <c r="A289" s="22"/>
    </row>
    <row r="290" ht="15.75" customHeight="1">
      <c r="A290" s="22"/>
    </row>
    <row r="291" ht="15.75" customHeight="1">
      <c r="A291" s="22"/>
    </row>
    <row r="292" ht="15.75" customHeight="1">
      <c r="A292" s="22"/>
    </row>
    <row r="293" ht="15.75" customHeight="1">
      <c r="A293" s="22"/>
    </row>
    <row r="294" ht="15.75" customHeight="1">
      <c r="A294" s="22"/>
    </row>
    <row r="295" ht="15.75" customHeight="1">
      <c r="A295" s="22"/>
    </row>
    <row r="296" ht="15.75" customHeight="1">
      <c r="A296" s="22"/>
    </row>
    <row r="297" ht="15.75" customHeight="1">
      <c r="A297" s="22"/>
    </row>
    <row r="298" ht="15.75" customHeight="1">
      <c r="A298" s="22"/>
    </row>
    <row r="299" ht="15.75" customHeight="1">
      <c r="A299" s="22"/>
    </row>
    <row r="300" ht="15.75" customHeight="1">
      <c r="A300" s="22"/>
    </row>
    <row r="301" ht="15.75" customHeight="1">
      <c r="A301" s="22"/>
    </row>
    <row r="302" ht="15.75" customHeight="1">
      <c r="A302" s="22"/>
    </row>
    <row r="303" ht="15.75" customHeight="1">
      <c r="A303" s="22"/>
    </row>
    <row r="304" ht="15.75" customHeight="1">
      <c r="A304" s="22"/>
    </row>
    <row r="305" ht="15.75" customHeight="1">
      <c r="A305" s="22"/>
    </row>
    <row r="306" ht="15.75" customHeight="1">
      <c r="A306" s="22"/>
    </row>
    <row r="307" ht="15.75" customHeight="1">
      <c r="A307" s="22"/>
    </row>
    <row r="308" ht="15.75" customHeight="1">
      <c r="A308" s="22"/>
    </row>
    <row r="309" ht="15.75" customHeight="1">
      <c r="A309" s="22"/>
    </row>
    <row r="310" ht="15.75" customHeight="1">
      <c r="A310" s="22"/>
    </row>
    <row r="311" ht="15.75" customHeight="1">
      <c r="A311" s="22"/>
    </row>
    <row r="312" ht="15.75" customHeight="1">
      <c r="A312" s="22"/>
    </row>
    <row r="313" ht="15.75" customHeight="1">
      <c r="A313" s="22"/>
    </row>
    <row r="314" ht="15.75" customHeight="1">
      <c r="A314" s="22"/>
    </row>
    <row r="315" ht="15.75" customHeight="1">
      <c r="A315" s="22"/>
    </row>
    <row r="316" ht="15.75" customHeight="1">
      <c r="A316" s="22"/>
    </row>
    <row r="317" ht="15.75" customHeight="1">
      <c r="A317" s="22"/>
    </row>
    <row r="318" ht="15.75" customHeight="1">
      <c r="A318" s="22"/>
    </row>
    <row r="319" ht="15.75" customHeight="1">
      <c r="A319" s="22"/>
    </row>
    <row r="320" ht="15.75" customHeight="1">
      <c r="A320" s="22"/>
    </row>
    <row r="321" ht="15.75" customHeight="1">
      <c r="A321" s="22"/>
    </row>
    <row r="322" ht="15.75" customHeight="1">
      <c r="A322" s="22"/>
    </row>
    <row r="323" ht="15.75" customHeight="1">
      <c r="A323" s="22"/>
    </row>
    <row r="324" ht="15.75" customHeight="1">
      <c r="A324" s="22"/>
    </row>
    <row r="325" ht="15.75" customHeight="1">
      <c r="A325" s="22"/>
    </row>
    <row r="326" ht="15.75" customHeight="1">
      <c r="A326" s="22"/>
    </row>
    <row r="327" ht="15.75" customHeight="1">
      <c r="A327" s="22"/>
    </row>
    <row r="328" ht="15.75" customHeight="1">
      <c r="A328" s="22"/>
    </row>
    <row r="329" ht="15.75" customHeight="1">
      <c r="A329" s="22"/>
    </row>
    <row r="330" ht="15.75" customHeight="1">
      <c r="A330" s="22"/>
    </row>
    <row r="331" ht="15.75" customHeight="1">
      <c r="A331" s="22"/>
    </row>
    <row r="332" ht="15.75" customHeight="1">
      <c r="A332" s="22"/>
    </row>
    <row r="333" ht="15.75" customHeight="1">
      <c r="A333" s="22"/>
    </row>
    <row r="334" ht="15.75" customHeight="1">
      <c r="A334" s="22"/>
    </row>
    <row r="335" ht="15.75" customHeight="1">
      <c r="A335" s="22"/>
    </row>
    <row r="336" ht="15.75" customHeight="1">
      <c r="A336" s="22"/>
    </row>
    <row r="337" ht="15.75" customHeight="1">
      <c r="A337" s="22"/>
    </row>
    <row r="338" ht="15.75" customHeight="1">
      <c r="A338" s="22"/>
    </row>
    <row r="339" ht="15.75" customHeight="1">
      <c r="A339" s="22"/>
    </row>
    <row r="340" ht="15.75" customHeight="1">
      <c r="A340" s="22"/>
    </row>
    <row r="341" ht="15.75" customHeight="1">
      <c r="A341" s="22"/>
    </row>
    <row r="342" ht="15.75" customHeight="1">
      <c r="A342" s="22"/>
    </row>
    <row r="343" ht="15.75" customHeight="1">
      <c r="A343" s="22"/>
    </row>
    <row r="344" ht="15.75" customHeight="1">
      <c r="A344" s="22"/>
    </row>
    <row r="345" ht="15.75" customHeight="1">
      <c r="A345" s="22"/>
    </row>
    <row r="346" ht="15.75" customHeight="1">
      <c r="A346" s="22"/>
    </row>
    <row r="347" ht="15.75" customHeight="1">
      <c r="A347" s="22"/>
    </row>
    <row r="348" ht="15.75" customHeight="1">
      <c r="A348" s="22"/>
    </row>
    <row r="349" ht="15.75" customHeight="1">
      <c r="A349" s="22"/>
    </row>
    <row r="350" ht="15.75" customHeight="1">
      <c r="A350" s="22"/>
    </row>
    <row r="351" ht="15.75" customHeight="1">
      <c r="A351" s="22"/>
    </row>
    <row r="352" ht="15.75" customHeight="1">
      <c r="A352" s="22"/>
    </row>
    <row r="353" ht="15.75" customHeight="1">
      <c r="A353" s="22"/>
    </row>
    <row r="354" ht="15.75" customHeight="1">
      <c r="A354" s="22"/>
    </row>
    <row r="355" ht="15.75" customHeight="1">
      <c r="A355" s="22"/>
    </row>
    <row r="356" ht="15.75" customHeight="1">
      <c r="A356" s="22"/>
    </row>
    <row r="357" ht="15.75" customHeight="1">
      <c r="A357" s="22"/>
    </row>
    <row r="358" ht="15.75" customHeight="1">
      <c r="A358" s="22"/>
    </row>
    <row r="359" ht="15.75" customHeight="1">
      <c r="A359" s="22"/>
    </row>
    <row r="360" ht="15.75" customHeight="1">
      <c r="A360" s="22"/>
    </row>
    <row r="361" ht="15.75" customHeight="1">
      <c r="A361" s="22"/>
    </row>
    <row r="362" ht="15.75" customHeight="1">
      <c r="A362" s="22"/>
    </row>
    <row r="363" ht="15.75" customHeight="1">
      <c r="A363" s="22"/>
    </row>
    <row r="364" ht="15.75" customHeight="1">
      <c r="A364" s="22"/>
    </row>
    <row r="365" ht="15.75" customHeight="1">
      <c r="A365" s="22"/>
    </row>
    <row r="366" ht="15.75" customHeight="1">
      <c r="A366" s="22"/>
    </row>
    <row r="367" ht="15.75" customHeight="1">
      <c r="A367" s="22"/>
    </row>
    <row r="368" ht="15.75" customHeight="1">
      <c r="A368" s="22"/>
    </row>
    <row r="369" ht="15.75" customHeight="1">
      <c r="A369" s="22"/>
    </row>
    <row r="370" ht="15.75" customHeight="1">
      <c r="A370" s="22"/>
    </row>
    <row r="371" ht="15.75" customHeight="1">
      <c r="A371" s="22"/>
    </row>
    <row r="372" ht="15.75" customHeight="1">
      <c r="A372" s="22"/>
    </row>
    <row r="373" ht="15.75" customHeight="1">
      <c r="A373" s="22"/>
    </row>
    <row r="374" ht="15.75" customHeight="1">
      <c r="A374" s="22"/>
    </row>
    <row r="375" ht="15.75" customHeight="1">
      <c r="A375" s="22"/>
    </row>
    <row r="376" ht="15.75" customHeight="1">
      <c r="A376" s="22"/>
    </row>
    <row r="377" ht="15.75" customHeight="1">
      <c r="A377" s="22"/>
    </row>
    <row r="378" ht="15.75" customHeight="1">
      <c r="A378" s="22"/>
    </row>
    <row r="379" ht="15.75" customHeight="1">
      <c r="A379" s="22"/>
    </row>
    <row r="380" ht="15.75" customHeight="1">
      <c r="A380" s="22"/>
    </row>
    <row r="381" ht="15.75" customHeight="1">
      <c r="A381" s="22"/>
    </row>
    <row r="382" ht="15.75" customHeight="1">
      <c r="A382" s="22"/>
    </row>
    <row r="383" ht="15.75" customHeight="1">
      <c r="A383" s="22"/>
    </row>
    <row r="384" ht="15.75" customHeight="1">
      <c r="A384" s="22"/>
    </row>
    <row r="385" ht="15.75" customHeight="1">
      <c r="A385" s="22"/>
    </row>
    <row r="386" ht="15.75" customHeight="1">
      <c r="A386" s="22"/>
    </row>
    <row r="387" ht="15.75" customHeight="1">
      <c r="A387" s="22"/>
    </row>
    <row r="388" ht="15.75" customHeight="1">
      <c r="A388" s="22"/>
    </row>
    <row r="389" ht="15.75" customHeight="1">
      <c r="A389" s="22"/>
    </row>
    <row r="390" ht="15.75" customHeight="1">
      <c r="A390" s="22"/>
    </row>
    <row r="391" ht="15.75" customHeight="1">
      <c r="A391" s="22"/>
    </row>
    <row r="392" ht="15.75" customHeight="1">
      <c r="A392" s="22"/>
    </row>
    <row r="393" ht="15.75" customHeight="1">
      <c r="A393" s="22"/>
    </row>
    <row r="394" ht="15.75" customHeight="1">
      <c r="A394" s="22"/>
    </row>
    <row r="395" ht="15.75" customHeight="1">
      <c r="A395" s="22"/>
    </row>
    <row r="396" ht="15.75" customHeight="1">
      <c r="A396" s="22"/>
    </row>
    <row r="397" ht="15.75" customHeight="1">
      <c r="A397" s="22"/>
    </row>
    <row r="398" ht="15.75" customHeight="1">
      <c r="A398" s="22"/>
    </row>
    <row r="399" ht="15.75" customHeight="1">
      <c r="A399" s="22"/>
    </row>
    <row r="400" ht="15.75" customHeight="1">
      <c r="A400" s="22"/>
    </row>
    <row r="401" ht="15.75" customHeight="1">
      <c r="A401" s="22"/>
    </row>
    <row r="402" ht="15.75" customHeight="1">
      <c r="A402" s="22"/>
    </row>
    <row r="403" ht="15.75" customHeight="1">
      <c r="A403" s="22"/>
    </row>
    <row r="404" ht="15.75" customHeight="1">
      <c r="A404" s="22"/>
    </row>
    <row r="405" ht="15.75" customHeight="1">
      <c r="A405" s="22"/>
    </row>
    <row r="406" ht="15.75" customHeight="1">
      <c r="A406" s="22"/>
    </row>
    <row r="407" ht="15.75" customHeight="1">
      <c r="A407" s="22"/>
    </row>
    <row r="408" ht="15.75" customHeight="1">
      <c r="A408" s="22"/>
    </row>
    <row r="409" ht="15.75" customHeight="1">
      <c r="A409" s="22"/>
    </row>
    <row r="410" ht="15.75" customHeight="1">
      <c r="A410" s="22"/>
    </row>
    <row r="411" ht="15.75" customHeight="1">
      <c r="A411" s="22"/>
    </row>
    <row r="412" ht="15.75" customHeight="1">
      <c r="A412" s="22"/>
    </row>
    <row r="413" ht="15.75" customHeight="1">
      <c r="A413" s="22"/>
    </row>
    <row r="414" ht="15.75" customHeight="1">
      <c r="A414" s="22"/>
    </row>
    <row r="415" ht="15.75" customHeight="1">
      <c r="A415" s="22"/>
    </row>
    <row r="416" ht="15.75" customHeight="1">
      <c r="A416" s="22"/>
    </row>
    <row r="417" ht="15.75" customHeight="1">
      <c r="A417" s="22"/>
    </row>
    <row r="418" ht="15.75" customHeight="1">
      <c r="A418" s="22"/>
    </row>
    <row r="419" ht="15.75" customHeight="1">
      <c r="A419" s="22"/>
    </row>
    <row r="420" ht="15.75" customHeight="1">
      <c r="A420" s="22"/>
    </row>
    <row r="421" ht="15.75" customHeight="1">
      <c r="A421" s="22"/>
    </row>
    <row r="422" ht="15.75" customHeight="1">
      <c r="A422" s="22"/>
    </row>
    <row r="423" ht="15.75" customHeight="1">
      <c r="A423" s="22"/>
    </row>
    <row r="424" ht="15.75" customHeight="1">
      <c r="A424" s="22"/>
    </row>
    <row r="425" ht="15.75" customHeight="1">
      <c r="A425" s="22"/>
    </row>
    <row r="426" ht="15.75" customHeight="1">
      <c r="A426" s="22"/>
    </row>
    <row r="427" ht="15.75" customHeight="1">
      <c r="A427" s="22"/>
    </row>
    <row r="428" ht="15.75" customHeight="1">
      <c r="A428" s="22"/>
    </row>
    <row r="429" ht="15.75" customHeight="1">
      <c r="A429" s="22"/>
    </row>
    <row r="430" ht="15.75" customHeight="1">
      <c r="A430" s="22"/>
    </row>
    <row r="431" ht="15.75" customHeight="1">
      <c r="A431" s="22"/>
    </row>
    <row r="432" ht="15.75" customHeight="1">
      <c r="A432" s="22"/>
    </row>
    <row r="433" ht="15.75" customHeight="1">
      <c r="A433" s="22"/>
    </row>
    <row r="434" ht="15.75" customHeight="1">
      <c r="A434" s="22"/>
    </row>
    <row r="435" ht="15.75" customHeight="1">
      <c r="A435" s="22"/>
    </row>
    <row r="436" ht="15.75" customHeight="1">
      <c r="A436" s="22"/>
    </row>
    <row r="437" ht="15.75" customHeight="1">
      <c r="A437" s="22"/>
    </row>
    <row r="438" ht="15.75" customHeight="1">
      <c r="A438" s="22"/>
    </row>
    <row r="439" ht="15.75" customHeight="1">
      <c r="A439" s="22"/>
    </row>
    <row r="440" ht="15.75" customHeight="1">
      <c r="A440" s="22"/>
    </row>
    <row r="441" ht="15.75" customHeight="1">
      <c r="A441" s="22"/>
    </row>
    <row r="442" ht="15.75" customHeight="1">
      <c r="A442" s="22"/>
    </row>
    <row r="443" ht="15.75" customHeight="1">
      <c r="A443" s="22"/>
    </row>
    <row r="444" ht="15.75" customHeight="1">
      <c r="A444" s="22"/>
    </row>
    <row r="445" ht="15.75" customHeight="1">
      <c r="A445" s="22"/>
    </row>
    <row r="446" ht="15.75" customHeight="1">
      <c r="A446" s="22"/>
    </row>
    <row r="447" ht="15.75" customHeight="1">
      <c r="A447" s="22"/>
    </row>
    <row r="448" ht="15.75" customHeight="1">
      <c r="A448" s="22"/>
    </row>
    <row r="449" ht="15.75" customHeight="1">
      <c r="A449" s="22"/>
    </row>
    <row r="450" ht="15.75" customHeight="1">
      <c r="A450" s="22"/>
    </row>
    <row r="451" ht="15.75" customHeight="1">
      <c r="A451" s="22"/>
    </row>
    <row r="452" ht="15.75" customHeight="1">
      <c r="A452" s="22"/>
    </row>
    <row r="453" ht="15.75" customHeight="1">
      <c r="A453" s="22"/>
    </row>
    <row r="454" ht="15.75" customHeight="1">
      <c r="A454" s="22"/>
    </row>
    <row r="455" ht="15.75" customHeight="1">
      <c r="A455" s="22"/>
    </row>
    <row r="456" ht="15.75" customHeight="1">
      <c r="A456" s="22"/>
    </row>
    <row r="457" ht="15.75" customHeight="1">
      <c r="A457" s="22"/>
    </row>
    <row r="458" ht="15.75" customHeight="1">
      <c r="A458" s="22"/>
    </row>
    <row r="459" ht="15.75" customHeight="1">
      <c r="A459" s="22"/>
    </row>
    <row r="460" ht="15.75" customHeight="1">
      <c r="A460" s="22"/>
    </row>
    <row r="461" ht="15.75" customHeight="1">
      <c r="A461" s="22"/>
    </row>
    <row r="462" ht="15.75" customHeight="1">
      <c r="A462" s="22"/>
    </row>
    <row r="463" ht="15.75" customHeight="1">
      <c r="A463" s="22"/>
    </row>
    <row r="464" ht="15.75" customHeight="1">
      <c r="A464" s="22"/>
    </row>
    <row r="465" ht="15.75" customHeight="1">
      <c r="A465" s="22"/>
    </row>
    <row r="466" ht="15.75" customHeight="1">
      <c r="A466" s="22"/>
    </row>
    <row r="467" ht="15.75" customHeight="1">
      <c r="A467" s="22"/>
    </row>
    <row r="468" ht="15.75" customHeight="1">
      <c r="A468" s="22"/>
    </row>
    <row r="469" ht="15.75" customHeight="1">
      <c r="A469" s="22"/>
    </row>
    <row r="470" ht="15.75" customHeight="1">
      <c r="A470" s="22"/>
    </row>
    <row r="471" ht="15.75" customHeight="1">
      <c r="A471" s="22"/>
    </row>
    <row r="472" ht="15.75" customHeight="1">
      <c r="A472" s="22"/>
    </row>
    <row r="473" ht="15.75" customHeight="1">
      <c r="A473" s="22"/>
    </row>
    <row r="474" ht="15.75" customHeight="1">
      <c r="A474" s="22"/>
    </row>
    <row r="475" ht="15.75" customHeight="1">
      <c r="A475" s="22"/>
    </row>
    <row r="476" ht="15.75" customHeight="1">
      <c r="A476" s="22"/>
    </row>
    <row r="477" ht="15.75" customHeight="1">
      <c r="A477" s="22"/>
    </row>
    <row r="478" ht="15.75" customHeight="1">
      <c r="A478" s="22"/>
    </row>
    <row r="479" ht="15.75" customHeight="1">
      <c r="A479" s="22"/>
    </row>
    <row r="480" ht="15.75" customHeight="1">
      <c r="A480" s="22"/>
    </row>
    <row r="481" ht="15.75" customHeight="1">
      <c r="A481" s="22"/>
    </row>
    <row r="482" ht="15.75" customHeight="1">
      <c r="A482" s="22"/>
    </row>
    <row r="483" ht="15.75" customHeight="1">
      <c r="A483" s="22"/>
    </row>
    <row r="484" ht="15.75" customHeight="1">
      <c r="A484" s="22"/>
    </row>
    <row r="485" ht="15.75" customHeight="1">
      <c r="A485" s="22"/>
    </row>
    <row r="486" ht="15.75" customHeight="1">
      <c r="A486" s="22"/>
    </row>
    <row r="487" ht="15.75" customHeight="1">
      <c r="A487" s="22"/>
    </row>
    <row r="488" ht="15.75" customHeight="1">
      <c r="A488" s="22"/>
    </row>
    <row r="489" ht="15.75" customHeight="1">
      <c r="A489" s="22"/>
    </row>
    <row r="490" ht="15.75" customHeight="1">
      <c r="A490" s="22"/>
    </row>
    <row r="491" ht="15.75" customHeight="1">
      <c r="A491" s="22"/>
    </row>
    <row r="492" ht="15.75" customHeight="1">
      <c r="A492" s="22"/>
    </row>
    <row r="493" ht="15.75" customHeight="1">
      <c r="A493" s="22"/>
    </row>
    <row r="494" ht="15.75" customHeight="1">
      <c r="A494" s="22"/>
    </row>
    <row r="495" ht="15.75" customHeight="1">
      <c r="A495" s="22"/>
    </row>
    <row r="496" ht="15.75" customHeight="1">
      <c r="A496" s="22"/>
    </row>
    <row r="497" ht="15.75" customHeight="1">
      <c r="A497" s="22"/>
    </row>
    <row r="498" ht="15.75" customHeight="1">
      <c r="A498" s="22"/>
    </row>
    <row r="499" ht="15.75" customHeight="1">
      <c r="A499" s="22"/>
    </row>
    <row r="500" ht="15.75" customHeight="1">
      <c r="A500" s="22"/>
    </row>
    <row r="501" ht="15.75" customHeight="1">
      <c r="A501" s="22"/>
    </row>
    <row r="502" ht="15.75" customHeight="1">
      <c r="A502" s="22"/>
    </row>
    <row r="503" ht="15.75" customHeight="1">
      <c r="A503" s="22"/>
    </row>
    <row r="504" ht="15.75" customHeight="1">
      <c r="A504" s="22"/>
    </row>
    <row r="505" ht="15.75" customHeight="1">
      <c r="A505" s="22"/>
    </row>
    <row r="506" ht="15.75" customHeight="1">
      <c r="A506" s="22"/>
    </row>
    <row r="507" ht="15.75" customHeight="1">
      <c r="A507" s="22"/>
    </row>
    <row r="508" ht="15.75" customHeight="1">
      <c r="A508" s="22"/>
    </row>
    <row r="509" ht="15.75" customHeight="1">
      <c r="A509" s="22"/>
    </row>
    <row r="510" ht="15.75" customHeight="1">
      <c r="A510" s="22"/>
    </row>
    <row r="511" ht="15.75" customHeight="1">
      <c r="A511" s="22"/>
    </row>
    <row r="512" ht="15.75" customHeight="1">
      <c r="A512" s="22"/>
    </row>
    <row r="513" ht="15.75" customHeight="1">
      <c r="A513" s="22"/>
    </row>
    <row r="514" ht="15.75" customHeight="1">
      <c r="A514" s="22"/>
    </row>
    <row r="515" ht="15.75" customHeight="1">
      <c r="A515" s="22"/>
    </row>
    <row r="516" ht="15.75" customHeight="1">
      <c r="A516" s="22"/>
    </row>
    <row r="517" ht="15.75" customHeight="1">
      <c r="A517" s="22"/>
    </row>
    <row r="518" ht="15.75" customHeight="1">
      <c r="A518" s="22"/>
    </row>
    <row r="519" ht="15.75" customHeight="1">
      <c r="A519" s="22"/>
    </row>
    <row r="520" ht="15.75" customHeight="1">
      <c r="A520" s="22"/>
    </row>
    <row r="521" ht="15.75" customHeight="1">
      <c r="A521" s="22"/>
    </row>
    <row r="522" ht="15.75" customHeight="1">
      <c r="A522" s="22"/>
    </row>
    <row r="523" ht="15.75" customHeight="1">
      <c r="A523" s="22"/>
    </row>
    <row r="524" ht="15.75" customHeight="1">
      <c r="A524" s="22"/>
    </row>
    <row r="525" ht="15.75" customHeight="1">
      <c r="A525" s="22"/>
    </row>
    <row r="526" ht="15.75" customHeight="1">
      <c r="A526" s="22"/>
    </row>
    <row r="527" ht="15.75" customHeight="1">
      <c r="A527" s="22"/>
    </row>
    <row r="528" ht="15.75" customHeight="1">
      <c r="A528" s="22"/>
    </row>
    <row r="529" ht="15.75" customHeight="1">
      <c r="A529" s="22"/>
    </row>
    <row r="530" ht="15.75" customHeight="1">
      <c r="A530" s="22"/>
    </row>
    <row r="531" ht="15.75" customHeight="1">
      <c r="A531" s="22"/>
    </row>
    <row r="532" ht="15.75" customHeight="1">
      <c r="A532" s="22"/>
    </row>
    <row r="533" ht="15.75" customHeight="1">
      <c r="A533" s="22"/>
    </row>
    <row r="534" ht="15.75" customHeight="1">
      <c r="A534" s="22"/>
    </row>
    <row r="535" ht="15.75" customHeight="1">
      <c r="A535" s="22"/>
    </row>
    <row r="536" ht="15.75" customHeight="1">
      <c r="A536" s="22"/>
    </row>
    <row r="537" ht="15.75" customHeight="1">
      <c r="A537" s="22"/>
    </row>
    <row r="538" ht="15.75" customHeight="1">
      <c r="A538" s="22"/>
    </row>
    <row r="539" ht="15.75" customHeight="1">
      <c r="A539" s="22"/>
    </row>
    <row r="540" ht="15.75" customHeight="1">
      <c r="A540" s="22"/>
    </row>
    <row r="541" ht="15.75" customHeight="1">
      <c r="A541" s="22"/>
    </row>
    <row r="542" ht="15.75" customHeight="1">
      <c r="A542" s="22"/>
    </row>
    <row r="543" ht="15.75" customHeight="1">
      <c r="A543" s="22"/>
    </row>
    <row r="544" ht="15.75" customHeight="1">
      <c r="A544" s="22"/>
    </row>
    <row r="545" ht="15.75" customHeight="1">
      <c r="A545" s="22"/>
    </row>
    <row r="546" ht="15.75" customHeight="1">
      <c r="A546" s="22"/>
    </row>
    <row r="547" ht="15.75" customHeight="1">
      <c r="A547" s="22"/>
    </row>
    <row r="548" ht="15.75" customHeight="1">
      <c r="A548" s="22"/>
    </row>
    <row r="549" ht="15.75" customHeight="1">
      <c r="A549" s="22"/>
    </row>
    <row r="550" ht="15.75" customHeight="1">
      <c r="A550" s="22"/>
    </row>
    <row r="551" ht="15.75" customHeight="1">
      <c r="A551" s="22"/>
    </row>
    <row r="552" ht="15.75" customHeight="1">
      <c r="A552" s="22"/>
    </row>
    <row r="553" ht="15.75" customHeight="1">
      <c r="A553" s="22"/>
    </row>
    <row r="554" ht="15.75" customHeight="1">
      <c r="A554" s="22"/>
    </row>
    <row r="555" ht="15.75" customHeight="1">
      <c r="A555" s="22"/>
    </row>
    <row r="556" ht="15.75" customHeight="1">
      <c r="A556" s="22"/>
    </row>
    <row r="557" ht="15.75" customHeight="1">
      <c r="A557" s="22"/>
    </row>
    <row r="558" ht="15.75" customHeight="1">
      <c r="A558" s="22"/>
    </row>
    <row r="559" ht="15.75" customHeight="1">
      <c r="A559" s="22"/>
    </row>
    <row r="560" ht="15.75" customHeight="1">
      <c r="A560" s="22"/>
    </row>
    <row r="561" ht="15.75" customHeight="1">
      <c r="A561" s="22"/>
    </row>
    <row r="562" ht="15.75" customHeight="1">
      <c r="A562" s="22"/>
    </row>
    <row r="563" ht="15.75" customHeight="1">
      <c r="A563" s="22"/>
    </row>
    <row r="564" ht="15.75" customHeight="1">
      <c r="A564" s="22"/>
    </row>
    <row r="565" ht="15.75" customHeight="1">
      <c r="A565" s="22"/>
    </row>
    <row r="566" ht="15.75" customHeight="1">
      <c r="A566" s="22"/>
    </row>
    <row r="567" ht="15.75" customHeight="1">
      <c r="A567" s="22"/>
    </row>
    <row r="568" ht="15.75" customHeight="1">
      <c r="A568" s="22"/>
    </row>
    <row r="569" ht="15.75" customHeight="1">
      <c r="A569" s="22"/>
    </row>
    <row r="570" ht="15.75" customHeight="1">
      <c r="A570" s="22"/>
    </row>
    <row r="571" ht="15.75" customHeight="1">
      <c r="A571" s="22"/>
    </row>
    <row r="572" ht="15.75" customHeight="1">
      <c r="A572" s="22"/>
    </row>
    <row r="573" ht="15.75" customHeight="1">
      <c r="A573" s="22"/>
    </row>
    <row r="574" ht="15.75" customHeight="1">
      <c r="A574" s="22"/>
    </row>
    <row r="575" ht="15.75" customHeight="1">
      <c r="A575" s="22"/>
    </row>
    <row r="576" ht="15.75" customHeight="1">
      <c r="A576" s="22"/>
    </row>
    <row r="577" ht="15.75" customHeight="1">
      <c r="A577" s="22"/>
    </row>
    <row r="578" ht="15.75" customHeight="1">
      <c r="A578" s="22"/>
    </row>
    <row r="579" ht="15.75" customHeight="1">
      <c r="A579" s="22"/>
    </row>
    <row r="580" ht="15.75" customHeight="1">
      <c r="A580" s="22"/>
    </row>
    <row r="581" ht="15.75" customHeight="1">
      <c r="A581" s="22"/>
    </row>
    <row r="582" ht="15.75" customHeight="1">
      <c r="A582" s="22"/>
    </row>
    <row r="583" ht="15.75" customHeight="1">
      <c r="A583" s="22"/>
    </row>
    <row r="584" ht="15.75" customHeight="1">
      <c r="A584" s="22"/>
    </row>
    <row r="585" ht="15.75" customHeight="1">
      <c r="A585" s="22"/>
    </row>
    <row r="586" ht="15.75" customHeight="1">
      <c r="A586" s="22"/>
    </row>
    <row r="587" ht="15.75" customHeight="1">
      <c r="A587" s="22"/>
    </row>
    <row r="588" ht="15.75" customHeight="1">
      <c r="A588" s="22"/>
    </row>
    <row r="589" ht="15.75" customHeight="1">
      <c r="A589" s="22"/>
    </row>
    <row r="590" ht="15.75" customHeight="1">
      <c r="A590" s="22"/>
    </row>
    <row r="591" ht="15.75" customHeight="1">
      <c r="A591" s="22"/>
    </row>
    <row r="592" ht="15.75" customHeight="1">
      <c r="A592" s="22"/>
    </row>
    <row r="593" ht="15.75" customHeight="1">
      <c r="A593" s="22"/>
    </row>
    <row r="594" ht="15.75" customHeight="1">
      <c r="A594" s="22"/>
    </row>
    <row r="595" ht="15.75" customHeight="1">
      <c r="A595" s="22"/>
    </row>
    <row r="596" ht="15.75" customHeight="1">
      <c r="A596" s="22"/>
    </row>
    <row r="597" ht="15.75" customHeight="1">
      <c r="A597" s="22"/>
    </row>
    <row r="598" ht="15.75" customHeight="1">
      <c r="A598" s="22"/>
    </row>
    <row r="599" ht="15.75" customHeight="1">
      <c r="A599" s="22"/>
    </row>
    <row r="600" ht="15.75" customHeight="1">
      <c r="A600" s="22"/>
    </row>
    <row r="601" ht="15.75" customHeight="1">
      <c r="A601" s="22"/>
    </row>
    <row r="602" ht="15.75" customHeight="1">
      <c r="A602" s="22"/>
    </row>
    <row r="603" ht="15.75" customHeight="1">
      <c r="A603" s="22"/>
    </row>
    <row r="604" ht="15.75" customHeight="1">
      <c r="A604" s="22"/>
    </row>
    <row r="605" ht="15.75" customHeight="1">
      <c r="A605" s="22"/>
    </row>
    <row r="606" ht="15.75" customHeight="1">
      <c r="A606" s="22"/>
    </row>
    <row r="607" ht="15.75" customHeight="1">
      <c r="A607" s="22"/>
    </row>
    <row r="608" ht="15.75" customHeight="1">
      <c r="A608" s="22"/>
    </row>
    <row r="609" ht="15.75" customHeight="1">
      <c r="A609" s="22"/>
    </row>
    <row r="610" ht="15.75" customHeight="1">
      <c r="A610" s="22"/>
    </row>
    <row r="611" ht="15.75" customHeight="1">
      <c r="A611" s="22"/>
    </row>
    <row r="612" ht="15.75" customHeight="1">
      <c r="A612" s="22"/>
    </row>
    <row r="613" ht="15.75" customHeight="1">
      <c r="A613" s="22"/>
    </row>
    <row r="614" ht="15.75" customHeight="1">
      <c r="A614" s="22"/>
    </row>
    <row r="615" ht="15.75" customHeight="1">
      <c r="A615" s="22"/>
    </row>
    <row r="616" ht="15.75" customHeight="1">
      <c r="A616" s="22"/>
    </row>
    <row r="617" ht="15.75" customHeight="1">
      <c r="A617" s="22"/>
    </row>
    <row r="618" ht="15.75" customHeight="1">
      <c r="A618" s="22"/>
    </row>
    <row r="619" ht="15.75" customHeight="1">
      <c r="A619" s="22"/>
    </row>
    <row r="620" ht="15.75" customHeight="1">
      <c r="A620" s="22"/>
    </row>
    <row r="621" ht="15.75" customHeight="1">
      <c r="A621" s="22"/>
    </row>
    <row r="622" ht="15.75" customHeight="1">
      <c r="A622" s="22"/>
    </row>
    <row r="623" ht="15.75" customHeight="1">
      <c r="A623" s="22"/>
    </row>
    <row r="624" ht="15.75" customHeight="1">
      <c r="A624" s="22"/>
    </row>
    <row r="625" ht="15.75" customHeight="1">
      <c r="A625" s="22"/>
    </row>
    <row r="626" ht="15.75" customHeight="1">
      <c r="A626" s="22"/>
    </row>
    <row r="627" ht="15.75" customHeight="1">
      <c r="A627" s="22"/>
    </row>
    <row r="628" ht="15.75" customHeight="1">
      <c r="A628" s="22"/>
    </row>
    <row r="629" ht="15.75" customHeight="1">
      <c r="A629" s="22"/>
    </row>
    <row r="630" ht="15.75" customHeight="1">
      <c r="A630" s="22"/>
    </row>
    <row r="631" ht="15.75" customHeight="1">
      <c r="A631" s="22"/>
    </row>
    <row r="632" ht="15.75" customHeight="1">
      <c r="A632" s="22"/>
    </row>
    <row r="633" ht="15.75" customHeight="1">
      <c r="A633" s="22"/>
    </row>
    <row r="634" ht="15.75" customHeight="1">
      <c r="A634" s="22"/>
    </row>
    <row r="635" ht="15.75" customHeight="1">
      <c r="A635" s="22"/>
    </row>
    <row r="636" ht="15.75" customHeight="1">
      <c r="A636" s="22"/>
    </row>
    <row r="637" ht="15.75" customHeight="1">
      <c r="A637" s="22"/>
    </row>
    <row r="638" ht="15.75" customHeight="1">
      <c r="A638" s="22"/>
    </row>
    <row r="639" ht="15.75" customHeight="1">
      <c r="A639" s="22"/>
    </row>
    <row r="640" ht="15.75" customHeight="1">
      <c r="A640" s="22"/>
    </row>
    <row r="641" ht="15.75" customHeight="1">
      <c r="A641" s="22"/>
    </row>
    <row r="642" ht="15.75" customHeight="1">
      <c r="A642" s="22"/>
    </row>
    <row r="643" ht="15.75" customHeight="1">
      <c r="A643" s="22"/>
    </row>
    <row r="644" ht="15.75" customHeight="1">
      <c r="A644" s="22"/>
    </row>
    <row r="645" ht="15.75" customHeight="1">
      <c r="A645" s="22"/>
    </row>
    <row r="646" ht="15.75" customHeight="1">
      <c r="A646" s="22"/>
    </row>
    <row r="647" ht="15.75" customHeight="1">
      <c r="A647" s="22"/>
    </row>
    <row r="648" ht="15.75" customHeight="1">
      <c r="A648" s="22"/>
    </row>
    <row r="649" ht="15.75" customHeight="1">
      <c r="A649" s="22"/>
    </row>
    <row r="650" ht="15.75" customHeight="1">
      <c r="A650" s="22"/>
    </row>
    <row r="651" ht="15.75" customHeight="1">
      <c r="A651" s="22"/>
    </row>
    <row r="652" ht="15.75" customHeight="1">
      <c r="A652" s="22"/>
    </row>
    <row r="653" ht="15.75" customHeight="1">
      <c r="A653" s="22"/>
    </row>
    <row r="654" ht="15.75" customHeight="1">
      <c r="A654" s="22"/>
    </row>
    <row r="655" ht="15.75" customHeight="1">
      <c r="A655" s="22"/>
    </row>
    <row r="656" ht="15.75" customHeight="1">
      <c r="A656" s="22"/>
    </row>
    <row r="657" ht="15.75" customHeight="1">
      <c r="A657" s="22"/>
    </row>
    <row r="658" ht="15.75" customHeight="1">
      <c r="A658" s="22"/>
    </row>
    <row r="659" ht="15.75" customHeight="1">
      <c r="A659" s="22"/>
    </row>
    <row r="660" ht="15.75" customHeight="1">
      <c r="A660" s="22"/>
    </row>
    <row r="661" ht="15.75" customHeight="1">
      <c r="A661" s="22"/>
    </row>
    <row r="662" ht="15.75" customHeight="1">
      <c r="A662" s="22"/>
    </row>
    <row r="663" ht="15.75" customHeight="1">
      <c r="A663" s="22"/>
    </row>
    <row r="664" ht="15.75" customHeight="1">
      <c r="A664" s="22"/>
    </row>
    <row r="665" ht="15.75" customHeight="1">
      <c r="A665" s="22"/>
    </row>
    <row r="666" ht="15.75" customHeight="1">
      <c r="A666" s="22"/>
    </row>
    <row r="667" ht="15.75" customHeight="1">
      <c r="A667" s="22"/>
    </row>
    <row r="668" ht="15.75" customHeight="1">
      <c r="A668" s="22"/>
    </row>
    <row r="669" ht="15.75" customHeight="1">
      <c r="A669" s="22"/>
    </row>
    <row r="670" ht="15.75" customHeight="1">
      <c r="A670" s="22"/>
    </row>
    <row r="671" ht="15.75" customHeight="1">
      <c r="A671" s="22"/>
    </row>
    <row r="672" ht="15.75" customHeight="1">
      <c r="A672" s="22"/>
    </row>
    <row r="673" ht="15.75" customHeight="1">
      <c r="A673" s="22"/>
    </row>
    <row r="674" ht="15.75" customHeight="1">
      <c r="A674" s="22"/>
    </row>
    <row r="675" ht="15.75" customHeight="1">
      <c r="A675" s="22"/>
    </row>
    <row r="676" ht="15.75" customHeight="1">
      <c r="A676" s="22"/>
    </row>
    <row r="677" ht="15.75" customHeight="1">
      <c r="A677" s="22"/>
    </row>
    <row r="678" ht="15.75" customHeight="1">
      <c r="A678" s="22"/>
    </row>
    <row r="679" ht="15.75" customHeight="1">
      <c r="A679" s="22"/>
    </row>
    <row r="680" ht="15.75" customHeight="1">
      <c r="A680" s="22"/>
    </row>
    <row r="681" ht="15.75" customHeight="1">
      <c r="A681" s="22"/>
    </row>
    <row r="682" ht="15.75" customHeight="1">
      <c r="A682" s="22"/>
    </row>
    <row r="683" ht="15.75" customHeight="1">
      <c r="A683" s="22"/>
    </row>
    <row r="684" ht="15.75" customHeight="1">
      <c r="A684" s="22"/>
    </row>
    <row r="685" ht="15.75" customHeight="1">
      <c r="A685" s="22"/>
    </row>
    <row r="686" ht="15.75" customHeight="1">
      <c r="A686" s="22"/>
    </row>
    <row r="687" ht="15.75" customHeight="1">
      <c r="A687" s="22"/>
    </row>
    <row r="688" ht="15.75" customHeight="1">
      <c r="A688" s="22"/>
    </row>
    <row r="689" ht="15.75" customHeight="1">
      <c r="A689" s="22"/>
    </row>
    <row r="690" ht="15.75" customHeight="1">
      <c r="A690" s="22"/>
    </row>
    <row r="691" ht="15.75" customHeight="1">
      <c r="A691" s="22"/>
    </row>
    <row r="692" ht="15.75" customHeight="1">
      <c r="A692" s="22"/>
    </row>
    <row r="693" ht="15.75" customHeight="1">
      <c r="A693" s="22"/>
    </row>
    <row r="694" ht="15.75" customHeight="1">
      <c r="A694" s="22"/>
    </row>
    <row r="695" ht="15.75" customHeight="1">
      <c r="A695" s="22"/>
    </row>
    <row r="696" ht="15.75" customHeight="1">
      <c r="A696" s="22"/>
    </row>
    <row r="697" ht="15.75" customHeight="1">
      <c r="A697" s="22"/>
    </row>
    <row r="698" ht="15.75" customHeight="1">
      <c r="A698" s="22"/>
    </row>
    <row r="699" ht="15.75" customHeight="1">
      <c r="A699" s="22"/>
    </row>
    <row r="700" ht="15.75" customHeight="1">
      <c r="A700" s="22"/>
    </row>
    <row r="701" ht="15.75" customHeight="1">
      <c r="A701" s="22"/>
    </row>
    <row r="702" ht="15.75" customHeight="1">
      <c r="A702" s="22"/>
    </row>
    <row r="703" ht="15.75" customHeight="1">
      <c r="A703" s="22"/>
    </row>
    <row r="704" ht="15.75" customHeight="1">
      <c r="A704" s="22"/>
    </row>
    <row r="705" ht="15.75" customHeight="1">
      <c r="A705" s="22"/>
    </row>
    <row r="706" ht="15.75" customHeight="1">
      <c r="A706" s="22"/>
    </row>
    <row r="707" ht="15.75" customHeight="1">
      <c r="A707" s="22"/>
    </row>
    <row r="708" ht="15.75" customHeight="1">
      <c r="A708" s="22"/>
    </row>
    <row r="709" ht="15.75" customHeight="1">
      <c r="A709" s="22"/>
    </row>
    <row r="710" ht="15.75" customHeight="1">
      <c r="A710" s="22"/>
    </row>
    <row r="711" ht="15.75" customHeight="1">
      <c r="A711" s="22"/>
    </row>
    <row r="712" ht="15.75" customHeight="1">
      <c r="A712" s="22"/>
    </row>
    <row r="713" ht="15.75" customHeight="1">
      <c r="A713" s="22"/>
    </row>
    <row r="714" ht="15.75" customHeight="1">
      <c r="A714" s="22"/>
    </row>
    <row r="715" ht="15.75" customHeight="1">
      <c r="A715" s="22"/>
    </row>
    <row r="716" ht="15.75" customHeight="1">
      <c r="A716" s="22"/>
    </row>
    <row r="717" ht="15.75" customHeight="1">
      <c r="A717" s="22"/>
    </row>
    <row r="718" ht="15.75" customHeight="1">
      <c r="A718" s="22"/>
    </row>
    <row r="719" ht="15.75" customHeight="1">
      <c r="A719" s="22"/>
    </row>
    <row r="720" ht="15.75" customHeight="1">
      <c r="A720" s="22"/>
    </row>
    <row r="721" ht="15.75" customHeight="1">
      <c r="A721" s="22"/>
    </row>
    <row r="722" ht="15.75" customHeight="1">
      <c r="A722" s="22"/>
    </row>
    <row r="723" ht="15.75" customHeight="1">
      <c r="A723" s="22"/>
    </row>
    <row r="724" ht="15.75" customHeight="1">
      <c r="A724" s="22"/>
    </row>
    <row r="725" ht="15.75" customHeight="1">
      <c r="A725" s="22"/>
    </row>
    <row r="726" ht="15.75" customHeight="1">
      <c r="A726" s="22"/>
    </row>
    <row r="727" ht="15.75" customHeight="1">
      <c r="A727" s="22"/>
    </row>
    <row r="728" ht="15.75" customHeight="1">
      <c r="A728" s="22"/>
    </row>
    <row r="729" ht="15.75" customHeight="1">
      <c r="A729" s="22"/>
    </row>
    <row r="730" ht="15.75" customHeight="1">
      <c r="A730" s="22"/>
    </row>
    <row r="731" ht="15.75" customHeight="1">
      <c r="A731" s="22"/>
    </row>
    <row r="732" ht="15.75" customHeight="1">
      <c r="A732" s="22"/>
    </row>
    <row r="733" ht="15.75" customHeight="1">
      <c r="A733" s="22"/>
    </row>
    <row r="734" ht="15.75" customHeight="1">
      <c r="A734" s="22"/>
    </row>
    <row r="735" ht="15.75" customHeight="1">
      <c r="A735" s="22"/>
    </row>
    <row r="736" ht="15.75" customHeight="1">
      <c r="A736" s="22"/>
    </row>
    <row r="737" ht="15.75" customHeight="1">
      <c r="A737" s="22"/>
    </row>
    <row r="738" ht="15.75" customHeight="1">
      <c r="A738" s="22"/>
    </row>
    <row r="739" ht="15.75" customHeight="1">
      <c r="A739" s="22"/>
    </row>
    <row r="740" ht="15.75" customHeight="1">
      <c r="A740" s="22"/>
    </row>
    <row r="741" ht="15.75" customHeight="1">
      <c r="A741" s="22"/>
    </row>
    <row r="742" ht="15.75" customHeight="1">
      <c r="A742" s="22"/>
    </row>
    <row r="743" ht="15.75" customHeight="1">
      <c r="A743" s="22"/>
    </row>
    <row r="744" ht="15.75" customHeight="1">
      <c r="A744" s="22"/>
    </row>
    <row r="745" ht="15.75" customHeight="1">
      <c r="A745" s="22"/>
    </row>
    <row r="746" ht="15.75" customHeight="1">
      <c r="A746" s="22"/>
    </row>
    <row r="747" ht="15.75" customHeight="1">
      <c r="A747" s="22"/>
    </row>
    <row r="748" ht="15.75" customHeight="1">
      <c r="A748" s="22"/>
    </row>
    <row r="749" ht="15.75" customHeight="1">
      <c r="A749" s="22"/>
    </row>
    <row r="750" ht="15.75" customHeight="1">
      <c r="A750" s="22"/>
    </row>
    <row r="751" ht="15.75" customHeight="1">
      <c r="A751" s="22"/>
    </row>
    <row r="752" ht="15.75" customHeight="1">
      <c r="A752" s="22"/>
    </row>
    <row r="753" ht="15.75" customHeight="1">
      <c r="A753" s="22"/>
    </row>
    <row r="754" ht="15.75" customHeight="1">
      <c r="A754" s="22"/>
    </row>
    <row r="755" ht="15.75" customHeight="1">
      <c r="A755" s="22"/>
    </row>
    <row r="756" ht="15.75" customHeight="1">
      <c r="A756" s="22"/>
    </row>
    <row r="757" ht="15.75" customHeight="1">
      <c r="A757" s="22"/>
    </row>
    <row r="758" ht="15.75" customHeight="1">
      <c r="A758" s="22"/>
    </row>
    <row r="759" ht="15.75" customHeight="1">
      <c r="A759" s="22"/>
    </row>
    <row r="760" ht="15.75" customHeight="1">
      <c r="A760" s="22"/>
    </row>
    <row r="761" ht="15.75" customHeight="1">
      <c r="A761" s="22"/>
    </row>
    <row r="762" ht="15.75" customHeight="1">
      <c r="A762" s="22"/>
    </row>
    <row r="763" ht="15.75" customHeight="1">
      <c r="A763" s="22"/>
    </row>
    <row r="764" ht="15.75" customHeight="1">
      <c r="A764" s="22"/>
    </row>
    <row r="765" ht="15.75" customHeight="1">
      <c r="A765" s="22"/>
    </row>
    <row r="766" ht="15.75" customHeight="1">
      <c r="A766" s="22"/>
    </row>
    <row r="767" ht="15.75" customHeight="1">
      <c r="A767" s="22"/>
    </row>
    <row r="768" ht="15.75" customHeight="1">
      <c r="A768" s="22"/>
    </row>
    <row r="769" ht="15.75" customHeight="1">
      <c r="A769" s="22"/>
    </row>
    <row r="770" ht="15.75" customHeight="1">
      <c r="A770" s="22"/>
    </row>
    <row r="771" ht="15.75" customHeight="1">
      <c r="A771" s="22"/>
    </row>
    <row r="772" ht="15.75" customHeight="1">
      <c r="A772" s="22"/>
    </row>
    <row r="773" ht="15.75" customHeight="1">
      <c r="A773" s="22"/>
    </row>
    <row r="774" ht="15.75" customHeight="1">
      <c r="A774" s="22"/>
    </row>
    <row r="775" ht="15.75" customHeight="1">
      <c r="A775" s="22"/>
    </row>
    <row r="776" ht="15.75" customHeight="1">
      <c r="A776" s="22"/>
    </row>
    <row r="777" ht="15.75" customHeight="1">
      <c r="A777" s="22"/>
    </row>
    <row r="778" ht="15.75" customHeight="1">
      <c r="A778" s="22"/>
    </row>
    <row r="779" ht="15.75" customHeight="1">
      <c r="A779" s="22"/>
    </row>
    <row r="780" ht="15.75" customHeight="1">
      <c r="A780" s="22"/>
    </row>
    <row r="781" ht="15.75" customHeight="1">
      <c r="A781" s="22"/>
    </row>
    <row r="782" ht="15.75" customHeight="1">
      <c r="A782" s="22"/>
    </row>
    <row r="783" ht="15.75" customHeight="1">
      <c r="A783" s="22"/>
    </row>
    <row r="784" ht="15.75" customHeight="1">
      <c r="A784" s="22"/>
    </row>
    <row r="785" ht="15.75" customHeight="1">
      <c r="A785" s="22"/>
    </row>
    <row r="786" ht="15.75" customHeight="1">
      <c r="A786" s="22"/>
    </row>
    <row r="787" ht="15.75" customHeight="1">
      <c r="A787" s="22"/>
    </row>
    <row r="788" ht="15.75" customHeight="1">
      <c r="A788" s="22"/>
    </row>
    <row r="789" ht="15.75" customHeight="1">
      <c r="A789" s="22"/>
    </row>
    <row r="790" ht="15.75" customHeight="1">
      <c r="A790" s="22"/>
    </row>
    <row r="791" ht="15.75" customHeight="1">
      <c r="A791" s="22"/>
    </row>
    <row r="792" ht="15.75" customHeight="1">
      <c r="A792" s="22"/>
    </row>
    <row r="793" ht="15.75" customHeight="1">
      <c r="A793" s="22"/>
    </row>
    <row r="794" ht="15.75" customHeight="1">
      <c r="A794" s="22"/>
    </row>
    <row r="795" ht="15.75" customHeight="1">
      <c r="A795" s="22"/>
    </row>
    <row r="796" ht="15.75" customHeight="1">
      <c r="A796" s="22"/>
    </row>
    <row r="797" ht="15.75" customHeight="1">
      <c r="A797" s="22"/>
    </row>
    <row r="798" ht="15.75" customHeight="1">
      <c r="A798" s="22"/>
    </row>
    <row r="799" ht="15.75" customHeight="1">
      <c r="A799" s="22"/>
    </row>
    <row r="800" ht="15.75" customHeight="1">
      <c r="A800" s="22"/>
    </row>
    <row r="801" ht="15.75" customHeight="1">
      <c r="A801" s="22"/>
    </row>
    <row r="802" ht="15.75" customHeight="1">
      <c r="A802" s="22"/>
    </row>
    <row r="803" ht="15.75" customHeight="1">
      <c r="A803" s="22"/>
    </row>
    <row r="804" ht="15.75" customHeight="1">
      <c r="A804" s="22"/>
    </row>
    <row r="805" ht="15.75" customHeight="1">
      <c r="A805" s="22"/>
    </row>
    <row r="806" ht="15.75" customHeight="1">
      <c r="A806" s="22"/>
    </row>
    <row r="807" ht="15.75" customHeight="1">
      <c r="A807" s="22"/>
    </row>
    <row r="808" ht="15.75" customHeight="1">
      <c r="A808" s="22"/>
    </row>
    <row r="809" ht="15.75" customHeight="1">
      <c r="A809" s="22"/>
    </row>
    <row r="810" ht="15.75" customHeight="1">
      <c r="A810" s="22"/>
    </row>
    <row r="811" ht="15.75" customHeight="1">
      <c r="A811" s="22"/>
    </row>
    <row r="812" ht="15.75" customHeight="1">
      <c r="A812" s="22"/>
    </row>
    <row r="813" ht="15.75" customHeight="1">
      <c r="A813" s="22"/>
    </row>
    <row r="814" ht="15.75" customHeight="1">
      <c r="A814" s="22"/>
    </row>
    <row r="815" ht="15.75" customHeight="1">
      <c r="A815" s="22"/>
    </row>
    <row r="816" ht="15.75" customHeight="1">
      <c r="A816" s="22"/>
    </row>
    <row r="817" ht="15.75" customHeight="1">
      <c r="A817" s="22"/>
    </row>
    <row r="818" ht="15.75" customHeight="1">
      <c r="A818" s="22"/>
    </row>
    <row r="819" ht="15.75" customHeight="1">
      <c r="A819" s="22"/>
    </row>
    <row r="820" ht="15.75" customHeight="1">
      <c r="A820" s="22"/>
    </row>
    <row r="821" ht="15.75" customHeight="1">
      <c r="A821" s="22"/>
    </row>
    <row r="822" ht="15.75" customHeight="1">
      <c r="A822" s="22"/>
    </row>
    <row r="823" ht="15.75" customHeight="1">
      <c r="A823" s="22"/>
    </row>
    <row r="824" ht="15.75" customHeight="1">
      <c r="A824" s="22"/>
    </row>
    <row r="825" ht="15.75" customHeight="1">
      <c r="A825" s="22"/>
    </row>
    <row r="826" ht="15.75" customHeight="1">
      <c r="A826" s="22"/>
    </row>
    <row r="827" ht="15.75" customHeight="1">
      <c r="A827" s="22"/>
    </row>
    <row r="828" ht="15.75" customHeight="1">
      <c r="A828" s="22"/>
    </row>
    <row r="829" ht="15.75" customHeight="1">
      <c r="A829" s="22"/>
    </row>
    <row r="830" ht="15.75" customHeight="1">
      <c r="A830" s="22"/>
    </row>
    <row r="831" ht="15.75" customHeight="1">
      <c r="A831" s="22"/>
    </row>
    <row r="832" ht="15.75" customHeight="1">
      <c r="A832" s="22"/>
    </row>
    <row r="833" ht="15.75" customHeight="1">
      <c r="A833" s="22"/>
    </row>
    <row r="834" ht="15.75" customHeight="1">
      <c r="A834" s="22"/>
    </row>
    <row r="835" ht="15.75" customHeight="1">
      <c r="A835" s="22"/>
    </row>
    <row r="836" ht="15.75" customHeight="1">
      <c r="A836" s="22"/>
    </row>
    <row r="837" ht="15.75" customHeight="1">
      <c r="A837" s="22"/>
    </row>
    <row r="838" ht="15.75" customHeight="1">
      <c r="A838" s="22"/>
    </row>
    <row r="839" ht="15.75" customHeight="1">
      <c r="A839" s="22"/>
    </row>
    <row r="840" ht="15.75" customHeight="1">
      <c r="A840" s="22"/>
    </row>
    <row r="841" ht="15.75" customHeight="1">
      <c r="A841" s="22"/>
    </row>
    <row r="842" ht="15.75" customHeight="1">
      <c r="A842" s="22"/>
    </row>
    <row r="843" ht="15.75" customHeight="1">
      <c r="A843" s="22"/>
    </row>
    <row r="844" ht="15.75" customHeight="1">
      <c r="A844" s="22"/>
    </row>
    <row r="845" ht="15.75" customHeight="1">
      <c r="A845" s="22"/>
    </row>
    <row r="846" ht="15.75" customHeight="1">
      <c r="A846" s="22"/>
    </row>
    <row r="847" ht="15.75" customHeight="1">
      <c r="A847" s="22"/>
    </row>
    <row r="848" ht="15.75" customHeight="1">
      <c r="A848" s="22"/>
    </row>
    <row r="849" ht="15.75" customHeight="1">
      <c r="A849" s="22"/>
    </row>
    <row r="850" ht="15.75" customHeight="1">
      <c r="A850" s="22"/>
    </row>
    <row r="851" ht="15.75" customHeight="1">
      <c r="A851" s="22"/>
    </row>
    <row r="852" ht="15.75" customHeight="1">
      <c r="A852" s="22"/>
    </row>
    <row r="853" ht="15.75" customHeight="1">
      <c r="A853" s="22"/>
    </row>
    <row r="854" ht="15.75" customHeight="1">
      <c r="A854" s="22"/>
    </row>
    <row r="855" ht="15.75" customHeight="1">
      <c r="A855" s="22"/>
    </row>
    <row r="856" ht="15.75" customHeight="1">
      <c r="A856" s="22"/>
    </row>
    <row r="857" ht="15.75" customHeight="1">
      <c r="A857" s="22"/>
    </row>
    <row r="858" ht="15.75" customHeight="1">
      <c r="A858" s="22"/>
    </row>
    <row r="859" ht="15.75" customHeight="1">
      <c r="A859" s="22"/>
    </row>
    <row r="860" ht="15.75" customHeight="1">
      <c r="A860" s="22"/>
    </row>
    <row r="861" ht="15.75" customHeight="1">
      <c r="A861" s="22"/>
    </row>
    <row r="862" ht="15.75" customHeight="1">
      <c r="A862" s="22"/>
    </row>
    <row r="863" ht="15.75" customHeight="1">
      <c r="A863" s="22"/>
    </row>
    <row r="864" ht="15.75" customHeight="1">
      <c r="A864" s="22"/>
    </row>
    <row r="865" ht="15.75" customHeight="1">
      <c r="A865" s="22"/>
    </row>
    <row r="866" ht="15.75" customHeight="1">
      <c r="A866" s="22"/>
    </row>
    <row r="867" ht="15.75" customHeight="1">
      <c r="A867" s="22"/>
    </row>
    <row r="868" ht="15.75" customHeight="1">
      <c r="A868" s="22"/>
    </row>
    <row r="869" ht="15.75" customHeight="1">
      <c r="A869" s="22"/>
    </row>
    <row r="870" ht="15.75" customHeight="1">
      <c r="A870" s="22"/>
    </row>
    <row r="871" ht="15.75" customHeight="1">
      <c r="A871" s="22"/>
    </row>
    <row r="872" ht="15.75" customHeight="1">
      <c r="A872" s="22"/>
    </row>
    <row r="873" ht="15.75" customHeight="1">
      <c r="A873" s="22"/>
    </row>
    <row r="874" ht="15.75" customHeight="1">
      <c r="A874" s="22"/>
    </row>
    <row r="875" ht="15.75" customHeight="1">
      <c r="A875" s="22"/>
    </row>
    <row r="876" ht="15.75" customHeight="1">
      <c r="A876" s="22"/>
    </row>
    <row r="877" ht="15.75" customHeight="1">
      <c r="A877" s="22"/>
    </row>
    <row r="878" ht="15.75" customHeight="1">
      <c r="A878" s="22"/>
    </row>
    <row r="879" ht="15.75" customHeight="1">
      <c r="A879" s="22"/>
    </row>
    <row r="880" ht="15.75" customHeight="1">
      <c r="A880" s="22"/>
    </row>
    <row r="881" ht="15.75" customHeight="1">
      <c r="A881" s="22"/>
    </row>
    <row r="882" ht="15.75" customHeight="1">
      <c r="A882" s="22"/>
    </row>
    <row r="883" ht="15.75" customHeight="1">
      <c r="A883" s="22"/>
    </row>
    <row r="884" ht="15.75" customHeight="1">
      <c r="A884" s="22"/>
    </row>
    <row r="885" ht="15.75" customHeight="1">
      <c r="A885" s="22"/>
    </row>
    <row r="886" ht="15.75" customHeight="1">
      <c r="A886" s="22"/>
    </row>
    <row r="887" ht="15.75" customHeight="1">
      <c r="A887" s="22"/>
    </row>
    <row r="888" ht="15.75" customHeight="1">
      <c r="A888" s="22"/>
    </row>
    <row r="889" ht="15.75" customHeight="1">
      <c r="A889" s="22"/>
    </row>
    <row r="890" ht="15.75" customHeight="1">
      <c r="A890" s="22"/>
    </row>
    <row r="891" ht="15.75" customHeight="1">
      <c r="A891" s="22"/>
    </row>
    <row r="892" ht="15.75" customHeight="1">
      <c r="A892" s="22"/>
    </row>
    <row r="893" ht="15.75" customHeight="1">
      <c r="A893" s="22"/>
    </row>
    <row r="894" ht="15.75" customHeight="1">
      <c r="A894" s="22"/>
    </row>
    <row r="895" ht="15.75" customHeight="1">
      <c r="A895" s="22"/>
    </row>
    <row r="896" ht="15.75" customHeight="1">
      <c r="A896" s="22"/>
    </row>
    <row r="897" ht="15.75" customHeight="1">
      <c r="A897" s="22"/>
    </row>
    <row r="898" ht="15.75" customHeight="1">
      <c r="A898" s="22"/>
    </row>
    <row r="899" ht="15.75" customHeight="1">
      <c r="A899" s="22"/>
    </row>
    <row r="900" ht="15.75" customHeight="1">
      <c r="A900" s="22"/>
    </row>
    <row r="901" ht="15.75" customHeight="1">
      <c r="A901" s="22"/>
    </row>
    <row r="902" ht="15.75" customHeight="1">
      <c r="A902" s="22"/>
    </row>
    <row r="903" ht="15.75" customHeight="1">
      <c r="A903" s="22"/>
    </row>
    <row r="904" ht="15.75" customHeight="1">
      <c r="A904" s="22"/>
    </row>
    <row r="905" ht="15.75" customHeight="1">
      <c r="A905" s="22"/>
    </row>
    <row r="906" ht="15.75" customHeight="1">
      <c r="A906" s="22"/>
    </row>
    <row r="907" ht="15.75" customHeight="1">
      <c r="A907" s="22"/>
    </row>
    <row r="908" ht="15.75" customHeight="1">
      <c r="A908" s="22"/>
    </row>
    <row r="909" ht="15.75" customHeight="1">
      <c r="A909" s="22"/>
    </row>
    <row r="910" ht="15.75" customHeight="1">
      <c r="A910" s="22"/>
    </row>
    <row r="911" ht="15.75" customHeight="1">
      <c r="A911" s="22"/>
    </row>
    <row r="912" ht="15.75" customHeight="1">
      <c r="A912" s="22"/>
    </row>
    <row r="913" ht="15.75" customHeight="1">
      <c r="A913" s="22"/>
    </row>
    <row r="914" ht="15.75" customHeight="1">
      <c r="A914" s="22"/>
    </row>
    <row r="915" ht="15.75" customHeight="1">
      <c r="A915" s="22"/>
    </row>
    <row r="916" ht="15.75" customHeight="1">
      <c r="A916" s="22"/>
    </row>
    <row r="917" ht="15.75" customHeight="1">
      <c r="A917" s="22"/>
    </row>
    <row r="918" ht="15.75" customHeight="1">
      <c r="A918" s="22"/>
    </row>
    <row r="919" ht="15.75" customHeight="1">
      <c r="A919" s="22"/>
    </row>
    <row r="920" ht="15.75" customHeight="1">
      <c r="A920" s="22"/>
    </row>
    <row r="921" ht="15.75" customHeight="1">
      <c r="A921" s="22"/>
    </row>
    <row r="922" ht="15.75" customHeight="1">
      <c r="A922" s="22"/>
    </row>
    <row r="923" ht="15.75" customHeight="1">
      <c r="A923" s="22"/>
    </row>
    <row r="924" ht="15.75" customHeight="1">
      <c r="A924" s="22"/>
    </row>
    <row r="925" ht="15.75" customHeight="1">
      <c r="A925" s="22"/>
    </row>
    <row r="926" ht="15.75" customHeight="1">
      <c r="A926" s="22"/>
    </row>
    <row r="927" ht="15.75" customHeight="1">
      <c r="A927" s="22"/>
    </row>
    <row r="928" ht="15.75" customHeight="1">
      <c r="A928" s="22"/>
    </row>
    <row r="929" ht="15.75" customHeight="1">
      <c r="A929" s="22"/>
    </row>
    <row r="930" ht="15.75" customHeight="1">
      <c r="A930" s="22"/>
    </row>
    <row r="931" ht="15.75" customHeight="1">
      <c r="A931" s="22"/>
    </row>
    <row r="932" ht="15.75" customHeight="1">
      <c r="A932" s="22"/>
    </row>
    <row r="933" ht="15.75" customHeight="1">
      <c r="A933" s="22"/>
    </row>
    <row r="934" ht="15.75" customHeight="1">
      <c r="A934" s="22"/>
    </row>
    <row r="935" ht="15.75" customHeight="1">
      <c r="A935" s="22"/>
    </row>
    <row r="936" ht="15.75" customHeight="1">
      <c r="A936" s="22"/>
    </row>
    <row r="937" ht="15.75" customHeight="1">
      <c r="A937" s="22"/>
    </row>
    <row r="938" ht="15.75" customHeight="1">
      <c r="A938" s="22"/>
    </row>
    <row r="939" ht="15.75" customHeight="1">
      <c r="A939" s="22"/>
    </row>
    <row r="940" ht="15.75" customHeight="1">
      <c r="A940" s="22"/>
    </row>
    <row r="941" ht="15.75" customHeight="1">
      <c r="A941" s="22"/>
    </row>
    <row r="942" ht="15.75" customHeight="1">
      <c r="A942" s="22"/>
    </row>
    <row r="943" ht="15.75" customHeight="1">
      <c r="A943" s="22"/>
    </row>
    <row r="944" ht="15.75" customHeight="1">
      <c r="A944" s="22"/>
    </row>
    <row r="945" ht="15.75" customHeight="1">
      <c r="A945" s="22"/>
    </row>
    <row r="946" ht="15.75" customHeight="1">
      <c r="A946" s="22"/>
    </row>
    <row r="947" ht="15.75" customHeight="1">
      <c r="A947" s="22"/>
    </row>
    <row r="948" ht="15.75" customHeight="1">
      <c r="A948" s="22"/>
    </row>
    <row r="949" ht="15.75" customHeight="1">
      <c r="A949" s="22"/>
    </row>
    <row r="950" ht="15.75" customHeight="1">
      <c r="A950" s="22"/>
    </row>
    <row r="951" ht="15.75" customHeight="1">
      <c r="A951" s="22"/>
    </row>
    <row r="952" ht="15.75" customHeight="1">
      <c r="A952" s="22"/>
    </row>
    <row r="953" ht="15.75" customHeight="1">
      <c r="A953" s="22"/>
    </row>
    <row r="954" ht="15.75" customHeight="1">
      <c r="A954" s="22"/>
    </row>
    <row r="955" ht="15.75" customHeight="1">
      <c r="A955" s="22"/>
    </row>
    <row r="956" ht="15.75" customHeight="1">
      <c r="A956" s="22"/>
    </row>
    <row r="957" ht="15.75" customHeight="1">
      <c r="A957" s="22"/>
    </row>
    <row r="958" ht="15.75" customHeight="1">
      <c r="A958" s="22"/>
    </row>
    <row r="959" ht="15.75" customHeight="1">
      <c r="A959" s="22"/>
    </row>
    <row r="960" ht="15.75" customHeight="1">
      <c r="A960" s="22"/>
    </row>
    <row r="961" ht="15.75" customHeight="1">
      <c r="A961" s="22"/>
    </row>
    <row r="962" ht="15.75" customHeight="1">
      <c r="A962" s="22"/>
    </row>
    <row r="963" ht="15.75" customHeight="1">
      <c r="A963" s="22"/>
    </row>
    <row r="964" ht="15.75" customHeight="1">
      <c r="A964" s="22"/>
    </row>
    <row r="965" ht="15.75" customHeight="1">
      <c r="A965" s="22"/>
    </row>
    <row r="966" ht="15.75" customHeight="1">
      <c r="A966" s="22"/>
    </row>
    <row r="967" ht="15.75" customHeight="1">
      <c r="A967" s="22"/>
    </row>
    <row r="968" ht="15.75" customHeight="1">
      <c r="A968" s="22"/>
    </row>
    <row r="969" ht="15.75" customHeight="1">
      <c r="A969" s="22"/>
    </row>
    <row r="970" ht="15.75" customHeight="1">
      <c r="A970" s="22"/>
    </row>
    <row r="971" ht="15.75" customHeight="1">
      <c r="A971" s="22"/>
    </row>
    <row r="972" ht="15.75" customHeight="1">
      <c r="A972" s="22"/>
    </row>
    <row r="973" ht="15.75" customHeight="1">
      <c r="A973" s="22"/>
    </row>
    <row r="974" ht="15.75" customHeight="1">
      <c r="A974" s="22"/>
    </row>
    <row r="975" ht="15.75" customHeight="1">
      <c r="A975" s="22"/>
    </row>
    <row r="976" ht="15.75" customHeight="1">
      <c r="A976" s="22"/>
    </row>
    <row r="977" ht="15.75" customHeight="1">
      <c r="A977" s="22"/>
    </row>
    <row r="978" ht="15.75" customHeight="1">
      <c r="A978" s="22"/>
    </row>
    <row r="979" ht="15.75" customHeight="1">
      <c r="A979" s="22"/>
    </row>
    <row r="980" ht="15.75" customHeight="1">
      <c r="A980" s="22"/>
    </row>
    <row r="981" ht="15.75" customHeight="1">
      <c r="A981" s="22"/>
    </row>
    <row r="982" ht="15.75" customHeight="1">
      <c r="A982" s="22"/>
    </row>
    <row r="983" ht="15.75" customHeight="1">
      <c r="A983" s="22"/>
    </row>
    <row r="984" ht="15.75" customHeight="1">
      <c r="A984" s="22"/>
    </row>
    <row r="985" ht="15.75" customHeight="1">
      <c r="A985" s="22"/>
    </row>
    <row r="986" ht="15.75" customHeight="1">
      <c r="A986" s="22"/>
    </row>
    <row r="987" ht="15.75" customHeight="1">
      <c r="A987" s="22"/>
    </row>
    <row r="988" ht="15.75" customHeight="1">
      <c r="A988" s="22"/>
    </row>
    <row r="989" ht="15.75" customHeight="1">
      <c r="A989" s="22"/>
    </row>
    <row r="990" ht="15.75" customHeight="1">
      <c r="A990" s="22"/>
    </row>
    <row r="991" ht="15.75" customHeight="1">
      <c r="A991" s="22"/>
    </row>
    <row r="992" ht="15.75" customHeight="1">
      <c r="A992" s="22"/>
    </row>
    <row r="993" ht="15.75" customHeight="1">
      <c r="A993" s="22"/>
    </row>
    <row r="994" ht="15.75" customHeight="1">
      <c r="A994" s="22"/>
    </row>
    <row r="995" ht="15.75" customHeight="1">
      <c r="A995" s="22"/>
    </row>
    <row r="996" ht="15.75" customHeight="1">
      <c r="A996" s="22"/>
    </row>
    <row r="997" ht="15.75" customHeight="1">
      <c r="A997" s="22"/>
    </row>
    <row r="998" ht="15.75" customHeight="1">
      <c r="A998" s="22"/>
    </row>
    <row r="999" ht="15.75" customHeight="1">
      <c r="A999" s="22"/>
    </row>
    <row r="1000" ht="15.75" customHeight="1">
      <c r="A1000" s="22"/>
    </row>
    <row r="1001" ht="15.75" customHeight="1">
      <c r="A1001" s="22"/>
    </row>
    <row r="1002" ht="15.75" customHeight="1">
      <c r="A1002" s="22"/>
    </row>
    <row r="1003" ht="15.75" customHeight="1">
      <c r="A1003" s="22"/>
    </row>
    <row r="1004" ht="15.75" customHeight="1">
      <c r="A1004" s="22"/>
    </row>
    <row r="1005" ht="15.75" customHeight="1">
      <c r="A1005" s="22"/>
    </row>
    <row r="1006" ht="15.75" customHeight="1">
      <c r="A1006" s="22"/>
    </row>
    <row r="1007" ht="15.75" customHeight="1">
      <c r="A1007" s="22"/>
    </row>
    <row r="1008" ht="15.75" customHeight="1">
      <c r="A1008" s="22"/>
    </row>
    <row r="1009" ht="15.75" customHeight="1">
      <c r="A1009" s="22"/>
    </row>
    <row r="1010" ht="15.75" customHeight="1">
      <c r="A1010" s="22"/>
    </row>
    <row r="1011" ht="15.75" customHeight="1">
      <c r="A1011" s="22"/>
    </row>
    <row r="1012" ht="15.75" customHeight="1">
      <c r="A1012" s="22"/>
    </row>
    <row r="1013" ht="15.75" customHeight="1">
      <c r="A1013" s="22"/>
    </row>
    <row r="1014" ht="15.75" customHeight="1">
      <c r="A1014" s="22"/>
    </row>
    <row r="1015" ht="15.75" customHeight="1">
      <c r="A1015" s="22"/>
    </row>
    <row r="1016" ht="15.75" customHeight="1">
      <c r="A1016" s="22"/>
    </row>
    <row r="1017" ht="15.75" customHeight="1">
      <c r="A1017" s="22"/>
    </row>
    <row r="1018" ht="15.75" customHeight="1">
      <c r="A1018" s="22"/>
    </row>
    <row r="1019" ht="15.75" customHeight="1">
      <c r="A1019" s="22"/>
    </row>
    <row r="1020" ht="15.75" customHeight="1">
      <c r="A1020" s="22"/>
    </row>
    <row r="1021" ht="15.75" customHeight="1">
      <c r="A1021" s="22"/>
    </row>
    <row r="1022" ht="15.75" customHeight="1">
      <c r="A1022" s="22"/>
    </row>
    <row r="1023" ht="15.75" customHeight="1">
      <c r="A1023" s="22"/>
    </row>
    <row r="1024" ht="15.75" customHeight="1">
      <c r="A1024" s="22"/>
    </row>
    <row r="1025" ht="15.75" customHeight="1">
      <c r="A1025" s="2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4.63"/>
    <col customWidth="1" min="3" max="3" width="16.88"/>
    <col customWidth="1" min="4" max="4" width="16.0"/>
    <col customWidth="1" min="5" max="5" width="18.0"/>
    <col customWidth="1" min="6" max="6" width="12.5"/>
    <col customWidth="1" min="7" max="7" width="17.13"/>
    <col customWidth="1" min="8" max="8" width="18.0"/>
    <col customWidth="1" min="9" max="9" width="14.5"/>
    <col customWidth="1" min="10" max="10" width="14.75"/>
    <col customWidth="1" min="11" max="11" width="30.88"/>
    <col customWidth="1" min="12" max="12" width="16.13"/>
    <col customWidth="1" min="13" max="13" width="16.63"/>
    <col customWidth="1" min="14" max="29" width="8.63"/>
  </cols>
  <sheetData>
    <row r="1">
      <c r="A1" s="1" t="s">
        <v>0</v>
      </c>
      <c r="B1" s="15" t="s">
        <v>123</v>
      </c>
      <c r="C1" s="15" t="s">
        <v>124</v>
      </c>
      <c r="D1" s="1" t="s">
        <v>125</v>
      </c>
      <c r="E1" s="1" t="s">
        <v>126</v>
      </c>
      <c r="F1" s="1" t="s">
        <v>87</v>
      </c>
      <c r="G1" s="1" t="s">
        <v>127</v>
      </c>
      <c r="H1" s="1" t="s">
        <v>15</v>
      </c>
      <c r="I1" s="1" t="s">
        <v>128</v>
      </c>
      <c r="J1" s="15" t="s">
        <v>11</v>
      </c>
      <c r="K1" s="1" t="s">
        <v>88</v>
      </c>
      <c r="L1" s="15" t="s">
        <v>26</v>
      </c>
      <c r="M1" s="15" t="s">
        <v>129</v>
      </c>
    </row>
    <row r="2">
      <c r="A2" s="2" t="s">
        <v>93</v>
      </c>
      <c r="B2" s="2" t="s">
        <v>28</v>
      </c>
      <c r="C2" s="2" t="s">
        <v>29</v>
      </c>
      <c r="D2" s="23">
        <v>1.0</v>
      </c>
      <c r="E2" s="24">
        <v>46184.60909722222</v>
      </c>
      <c r="F2" s="2" t="s">
        <v>130</v>
      </c>
      <c r="G2" s="3">
        <v>46184.74186342592</v>
      </c>
      <c r="H2" s="2" t="s">
        <v>37</v>
      </c>
      <c r="I2" s="2" t="s">
        <v>131</v>
      </c>
      <c r="J2" s="2" t="s">
        <v>34</v>
      </c>
      <c r="K2" s="2" t="s">
        <v>132</v>
      </c>
      <c r="L2" s="2" t="s">
        <v>133</v>
      </c>
      <c r="M2" s="25">
        <v>46184.61605324074</v>
      </c>
    </row>
    <row r="3">
      <c r="A3" s="2" t="s">
        <v>44</v>
      </c>
      <c r="B3" s="2" t="s">
        <v>45</v>
      </c>
      <c r="C3" s="2" t="s">
        <v>46</v>
      </c>
      <c r="D3" s="23">
        <v>1.0</v>
      </c>
      <c r="E3" s="24">
        <v>46185.7346412037</v>
      </c>
      <c r="F3" s="2" t="s">
        <v>130</v>
      </c>
      <c r="G3" s="3">
        <v>46184.74186342592</v>
      </c>
      <c r="H3" s="2" t="s">
        <v>37</v>
      </c>
      <c r="I3" s="2" t="s">
        <v>131</v>
      </c>
      <c r="J3" s="2" t="s">
        <v>34</v>
      </c>
      <c r="K3" s="2" t="s">
        <v>132</v>
      </c>
      <c r="L3" s="17"/>
      <c r="M3" s="17"/>
    </row>
    <row r="4">
      <c r="A4" s="2" t="s">
        <v>51</v>
      </c>
      <c r="B4" s="2" t="s">
        <v>52</v>
      </c>
      <c r="C4" s="2" t="s">
        <v>53</v>
      </c>
      <c r="D4" s="23">
        <v>1.0</v>
      </c>
      <c r="E4" s="24">
        <v>46185.73799768519</v>
      </c>
      <c r="F4" s="2" t="s">
        <v>130</v>
      </c>
      <c r="G4" s="3">
        <v>46184.74186342592</v>
      </c>
      <c r="H4" s="2" t="s">
        <v>59</v>
      </c>
      <c r="I4" s="2" t="s">
        <v>131</v>
      </c>
      <c r="J4" s="2" t="s">
        <v>34</v>
      </c>
      <c r="K4" s="2" t="s">
        <v>132</v>
      </c>
      <c r="L4" s="17"/>
      <c r="M4" s="17"/>
    </row>
    <row r="5">
      <c r="A5" s="2" t="s">
        <v>62</v>
      </c>
      <c r="B5" s="2" t="s">
        <v>63</v>
      </c>
      <c r="C5" s="2" t="s">
        <v>64</v>
      </c>
      <c r="D5" s="23">
        <v>1.0</v>
      </c>
      <c r="E5" s="24">
        <v>46185.73905092593</v>
      </c>
      <c r="F5" s="2" t="s">
        <v>130</v>
      </c>
      <c r="G5" s="3">
        <v>46184.74186342592</v>
      </c>
      <c r="H5" s="2" t="s">
        <v>59</v>
      </c>
      <c r="I5" s="2" t="s">
        <v>131</v>
      </c>
      <c r="J5" s="2" t="s">
        <v>68</v>
      </c>
      <c r="K5" s="2" t="s">
        <v>132</v>
      </c>
      <c r="L5" s="17"/>
      <c r="M5" s="17"/>
    </row>
    <row r="6">
      <c r="A6" s="2" t="s">
        <v>72</v>
      </c>
      <c r="B6" s="2" t="s">
        <v>73</v>
      </c>
      <c r="C6" s="2" t="s">
        <v>74</v>
      </c>
      <c r="D6" s="23">
        <v>1.0</v>
      </c>
      <c r="E6" s="24">
        <v>46185.73949074074</v>
      </c>
      <c r="F6" s="2" t="s">
        <v>130</v>
      </c>
      <c r="G6" s="3">
        <v>46184.74186342592</v>
      </c>
      <c r="H6" s="2" t="s">
        <v>81</v>
      </c>
      <c r="I6" s="2" t="s">
        <v>131</v>
      </c>
      <c r="J6" s="2" t="s">
        <v>78</v>
      </c>
      <c r="K6" s="2" t="s">
        <v>132</v>
      </c>
      <c r="L6" s="17"/>
      <c r="M6" s="17"/>
    </row>
    <row r="7">
      <c r="A7" s="6"/>
      <c r="B7" s="6"/>
      <c r="C7" s="6"/>
      <c r="D7" s="26"/>
      <c r="E7" s="27"/>
      <c r="F7" s="7"/>
      <c r="G7" s="7"/>
      <c r="H7" s="6"/>
      <c r="I7" s="6"/>
      <c r="J7" s="6"/>
      <c r="K7" s="6"/>
      <c r="L7" s="17"/>
      <c r="M7" s="17"/>
    </row>
    <row r="8">
      <c r="A8" s="6"/>
      <c r="B8" s="6"/>
      <c r="C8" s="6"/>
      <c r="D8" s="26"/>
      <c r="E8" s="27"/>
      <c r="F8" s="7"/>
      <c r="G8" s="7"/>
      <c r="H8" s="6"/>
      <c r="I8" s="6"/>
      <c r="J8" s="6"/>
      <c r="K8" s="6"/>
      <c r="L8" s="17"/>
      <c r="M8" s="17"/>
    </row>
    <row r="9">
      <c r="A9" s="6"/>
      <c r="B9" s="6"/>
      <c r="C9" s="6"/>
      <c r="D9" s="26"/>
      <c r="E9" s="27"/>
      <c r="F9" s="7"/>
      <c r="G9" s="7"/>
      <c r="H9" s="6"/>
      <c r="I9" s="6"/>
      <c r="J9" s="6"/>
      <c r="K9" s="6"/>
      <c r="L9" s="17"/>
      <c r="M9" s="17"/>
    </row>
    <row r="10">
      <c r="A10" s="6"/>
      <c r="B10" s="6"/>
      <c r="C10" s="6"/>
      <c r="D10" s="26"/>
      <c r="E10" s="27"/>
      <c r="F10" s="7"/>
      <c r="G10" s="7"/>
      <c r="H10" s="6"/>
      <c r="I10" s="6"/>
      <c r="J10" s="6"/>
      <c r="K10" s="6"/>
      <c r="L10" s="17"/>
      <c r="M10" s="17"/>
    </row>
    <row r="11">
      <c r="A11" s="6"/>
      <c r="B11" s="6"/>
      <c r="C11" s="6"/>
      <c r="D11" s="26"/>
      <c r="E11" s="27"/>
      <c r="F11" s="7"/>
      <c r="G11" s="7"/>
      <c r="H11" s="6"/>
      <c r="I11" s="6"/>
      <c r="J11" s="6"/>
      <c r="K11" s="6"/>
      <c r="L11" s="17"/>
      <c r="M11" s="17"/>
    </row>
    <row r="12">
      <c r="A12" s="6"/>
      <c r="B12" s="6"/>
      <c r="C12" s="6"/>
      <c r="D12" s="26"/>
      <c r="E12" s="27"/>
      <c r="F12" s="7"/>
      <c r="G12" s="7"/>
      <c r="H12" s="6"/>
      <c r="I12" s="6"/>
      <c r="J12" s="6"/>
      <c r="K12" s="6"/>
      <c r="L12" s="17"/>
      <c r="M12" s="17"/>
    </row>
    <row r="13">
      <c r="A13" s="6"/>
      <c r="B13" s="6"/>
      <c r="C13" s="6"/>
      <c r="D13" s="26"/>
      <c r="E13" s="27"/>
      <c r="F13" s="7"/>
      <c r="G13" s="7"/>
      <c r="H13" s="6"/>
      <c r="I13" s="6"/>
      <c r="J13" s="6"/>
      <c r="K13" s="6"/>
      <c r="L13" s="17"/>
      <c r="M13" s="17"/>
    </row>
    <row r="14">
      <c r="A14" s="6"/>
      <c r="B14" s="6"/>
      <c r="C14" s="6"/>
      <c r="D14" s="26"/>
      <c r="E14" s="27"/>
      <c r="F14" s="7"/>
      <c r="G14" s="7"/>
      <c r="H14" s="6"/>
      <c r="I14" s="6"/>
      <c r="J14" s="6"/>
      <c r="K14" s="6"/>
      <c r="L14" s="17"/>
      <c r="M14" s="17"/>
    </row>
    <row r="15">
      <c r="A15" s="6"/>
      <c r="B15" s="6"/>
      <c r="C15" s="6"/>
      <c r="D15" s="26"/>
      <c r="E15" s="27"/>
      <c r="F15" s="7"/>
      <c r="G15" s="7"/>
      <c r="H15" s="6"/>
      <c r="I15" s="6"/>
      <c r="J15" s="6"/>
      <c r="K15" s="6"/>
      <c r="L15" s="17"/>
      <c r="M15" s="17"/>
    </row>
    <row r="16">
      <c r="A16" s="6"/>
      <c r="B16" s="6"/>
      <c r="C16" s="6"/>
      <c r="D16" s="26"/>
      <c r="E16" s="27"/>
      <c r="F16" s="7"/>
      <c r="G16" s="7"/>
      <c r="H16" s="6"/>
      <c r="I16" s="6"/>
      <c r="J16" s="6"/>
      <c r="K16" s="6"/>
      <c r="L16" s="17"/>
      <c r="M16" s="17"/>
    </row>
    <row r="17">
      <c r="A17" s="6"/>
      <c r="B17" s="6"/>
      <c r="C17" s="6"/>
      <c r="D17" s="26"/>
      <c r="E17" s="27"/>
      <c r="F17" s="7"/>
      <c r="G17" s="7"/>
      <c r="H17" s="6"/>
      <c r="I17" s="6"/>
      <c r="J17" s="6"/>
      <c r="K17" s="6"/>
      <c r="L17" s="17"/>
      <c r="M17" s="17"/>
    </row>
    <row r="18">
      <c r="A18" s="6"/>
      <c r="B18" s="6"/>
      <c r="C18" s="6"/>
      <c r="D18" s="26"/>
      <c r="E18" s="27"/>
      <c r="F18" s="7"/>
      <c r="G18" s="7"/>
      <c r="H18" s="6"/>
      <c r="I18" s="6"/>
      <c r="J18" s="6"/>
      <c r="K18" s="6"/>
      <c r="L18" s="17"/>
      <c r="M18" s="17"/>
    </row>
    <row r="19">
      <c r="A19" s="6"/>
      <c r="B19" s="6"/>
      <c r="C19" s="6"/>
      <c r="D19" s="26"/>
      <c r="E19" s="27"/>
      <c r="F19" s="7"/>
      <c r="G19" s="7"/>
      <c r="H19" s="6"/>
      <c r="I19" s="6"/>
      <c r="J19" s="6"/>
      <c r="K19" s="6"/>
      <c r="L19" s="17"/>
      <c r="M19" s="17"/>
    </row>
    <row r="20" ht="15.75" customHeight="1">
      <c r="A20" s="6"/>
      <c r="B20" s="6"/>
      <c r="C20" s="6"/>
      <c r="D20" s="26"/>
      <c r="E20" s="27"/>
      <c r="F20" s="7"/>
      <c r="G20" s="7"/>
      <c r="H20" s="6"/>
      <c r="I20" s="6"/>
      <c r="J20" s="6"/>
      <c r="K20" s="6"/>
      <c r="L20" s="17"/>
      <c r="M20" s="17"/>
    </row>
    <row r="21" ht="15.75" customHeight="1">
      <c r="A21" s="6"/>
      <c r="B21" s="6"/>
      <c r="C21" s="6"/>
      <c r="D21" s="26"/>
      <c r="E21" s="27"/>
      <c r="F21" s="7"/>
      <c r="G21" s="7"/>
      <c r="H21" s="6"/>
      <c r="I21" s="6"/>
      <c r="J21" s="6"/>
      <c r="K21" s="6"/>
      <c r="L21" s="17"/>
      <c r="M21" s="17"/>
    </row>
    <row r="22" ht="15.75" customHeight="1">
      <c r="A22" s="6"/>
      <c r="B22" s="6"/>
      <c r="C22" s="6"/>
      <c r="D22" s="26"/>
      <c r="E22" s="27"/>
      <c r="F22" s="7"/>
      <c r="G22" s="7"/>
      <c r="H22" s="6"/>
      <c r="I22" s="6"/>
      <c r="J22" s="6"/>
      <c r="K22" s="6"/>
      <c r="L22" s="17"/>
      <c r="M22" s="17"/>
    </row>
    <row r="23" ht="15.75" customHeight="1">
      <c r="A23" s="6"/>
      <c r="B23" s="6"/>
      <c r="C23" s="6"/>
      <c r="D23" s="26"/>
      <c r="E23" s="27"/>
      <c r="F23" s="7"/>
      <c r="G23" s="7"/>
      <c r="H23" s="6"/>
      <c r="I23" s="6"/>
      <c r="J23" s="6"/>
      <c r="K23" s="6"/>
      <c r="L23" s="17"/>
      <c r="M23" s="17"/>
    </row>
    <row r="24" ht="15.75" customHeight="1">
      <c r="A24" s="6"/>
      <c r="B24" s="6"/>
      <c r="C24" s="6"/>
      <c r="D24" s="26"/>
      <c r="E24" s="27"/>
      <c r="F24" s="7"/>
      <c r="G24" s="7"/>
      <c r="H24" s="6"/>
      <c r="I24" s="6"/>
      <c r="J24" s="6"/>
      <c r="K24" s="6"/>
      <c r="L24" s="17"/>
      <c r="M24" s="17"/>
    </row>
    <row r="25" ht="15.75" customHeight="1">
      <c r="A25" s="6"/>
      <c r="B25" s="6"/>
      <c r="C25" s="6"/>
      <c r="D25" s="26"/>
      <c r="E25" s="27"/>
      <c r="F25" s="7"/>
      <c r="G25" s="7"/>
      <c r="H25" s="6"/>
      <c r="I25" s="6"/>
      <c r="J25" s="6"/>
      <c r="K25" s="6"/>
      <c r="L25" s="17"/>
      <c r="M25" s="17"/>
    </row>
    <row r="26" ht="15.75" customHeight="1">
      <c r="A26" s="6"/>
      <c r="B26" s="6"/>
      <c r="C26" s="6"/>
      <c r="D26" s="26"/>
      <c r="E26" s="27"/>
      <c r="F26" s="7"/>
      <c r="G26" s="7"/>
      <c r="H26" s="6"/>
      <c r="I26" s="6"/>
      <c r="J26" s="6"/>
      <c r="K26" s="6"/>
      <c r="L26" s="17"/>
      <c r="M26" s="17"/>
    </row>
    <row r="27" ht="15.75" customHeight="1">
      <c r="A27" s="6"/>
      <c r="B27" s="6"/>
      <c r="C27" s="6"/>
      <c r="D27" s="26"/>
      <c r="E27" s="27"/>
      <c r="F27" s="7"/>
      <c r="G27" s="7"/>
      <c r="H27" s="6"/>
      <c r="I27" s="6"/>
      <c r="J27" s="6"/>
      <c r="K27" s="6"/>
      <c r="L27" s="17"/>
      <c r="M27" s="17"/>
    </row>
    <row r="28" ht="15.75" customHeight="1">
      <c r="A28" s="6"/>
      <c r="B28" s="6"/>
      <c r="C28" s="6"/>
      <c r="D28" s="26"/>
      <c r="E28" s="27"/>
      <c r="F28" s="7"/>
      <c r="G28" s="7"/>
      <c r="H28" s="6"/>
      <c r="I28" s="6"/>
      <c r="J28" s="6"/>
      <c r="K28" s="6"/>
      <c r="L28" s="17"/>
      <c r="M28" s="17"/>
    </row>
    <row r="29" ht="15.75" customHeight="1">
      <c r="A29" s="6"/>
      <c r="B29" s="6"/>
      <c r="C29" s="6"/>
      <c r="D29" s="26"/>
      <c r="E29" s="27"/>
      <c r="F29" s="7"/>
      <c r="G29" s="7"/>
      <c r="H29" s="6"/>
      <c r="I29" s="6"/>
      <c r="J29" s="6"/>
      <c r="K29" s="6"/>
      <c r="L29" s="17"/>
      <c r="M29" s="17"/>
    </row>
    <row r="30" ht="15.75" customHeight="1">
      <c r="A30" s="6"/>
      <c r="B30" s="6"/>
      <c r="C30" s="6"/>
      <c r="D30" s="26"/>
      <c r="E30" s="27"/>
      <c r="F30" s="7"/>
      <c r="G30" s="7"/>
      <c r="H30" s="6"/>
      <c r="I30" s="6"/>
      <c r="J30" s="6"/>
      <c r="K30" s="6"/>
      <c r="L30" s="17"/>
      <c r="M30" s="17"/>
    </row>
    <row r="31" ht="15.75" customHeight="1">
      <c r="A31" s="6"/>
      <c r="B31" s="6"/>
      <c r="C31" s="6"/>
      <c r="D31" s="26"/>
      <c r="E31" s="27"/>
      <c r="F31" s="7"/>
      <c r="G31" s="7"/>
      <c r="H31" s="6"/>
      <c r="I31" s="6"/>
      <c r="J31" s="6"/>
      <c r="K31" s="6"/>
      <c r="L31" s="17"/>
      <c r="M31" s="17"/>
    </row>
    <row r="32" ht="15.75" customHeight="1">
      <c r="A32" s="6"/>
      <c r="B32" s="6"/>
      <c r="C32" s="6"/>
      <c r="D32" s="26"/>
      <c r="E32" s="27"/>
      <c r="F32" s="7"/>
      <c r="G32" s="7"/>
      <c r="H32" s="6"/>
      <c r="I32" s="6"/>
      <c r="J32" s="6"/>
      <c r="K32" s="6"/>
      <c r="L32" s="17"/>
      <c r="M32" s="17"/>
    </row>
    <row r="33" ht="15.75" customHeight="1">
      <c r="A33" s="6"/>
      <c r="B33" s="6"/>
      <c r="C33" s="6"/>
      <c r="D33" s="26"/>
      <c r="E33" s="27"/>
      <c r="F33" s="7"/>
      <c r="G33" s="7"/>
      <c r="H33" s="6"/>
      <c r="I33" s="6"/>
      <c r="J33" s="6"/>
      <c r="K33" s="6"/>
      <c r="L33" s="17"/>
      <c r="M33" s="17"/>
    </row>
    <row r="34" ht="15.75" customHeight="1">
      <c r="A34" s="6"/>
      <c r="B34" s="6"/>
      <c r="C34" s="6"/>
      <c r="D34" s="26"/>
      <c r="E34" s="27"/>
      <c r="F34" s="7"/>
      <c r="G34" s="7"/>
      <c r="H34" s="6"/>
      <c r="I34" s="6"/>
      <c r="J34" s="6"/>
      <c r="K34" s="6"/>
      <c r="L34" s="17"/>
      <c r="M34" s="17"/>
    </row>
    <row r="35" ht="15.75" customHeight="1">
      <c r="A35" s="6"/>
      <c r="B35" s="6"/>
      <c r="C35" s="6"/>
      <c r="D35" s="26"/>
      <c r="E35" s="27"/>
      <c r="F35" s="7"/>
      <c r="G35" s="7"/>
      <c r="H35" s="6"/>
      <c r="I35" s="6"/>
      <c r="J35" s="6"/>
      <c r="K35" s="6"/>
      <c r="L35" s="17"/>
      <c r="M35" s="17"/>
    </row>
    <row r="36" ht="15.75" customHeight="1">
      <c r="A36" s="6"/>
      <c r="B36" s="6"/>
      <c r="C36" s="6"/>
      <c r="D36" s="26"/>
      <c r="E36" s="27"/>
      <c r="F36" s="7"/>
      <c r="G36" s="7"/>
      <c r="H36" s="6"/>
      <c r="I36" s="6"/>
      <c r="J36" s="6"/>
      <c r="K36" s="6"/>
      <c r="L36" s="17"/>
      <c r="M36" s="17"/>
    </row>
    <row r="37" ht="15.75" customHeight="1">
      <c r="A37" s="6"/>
      <c r="B37" s="6"/>
      <c r="C37" s="6"/>
      <c r="D37" s="26"/>
      <c r="E37" s="27"/>
      <c r="F37" s="7"/>
      <c r="G37" s="7"/>
      <c r="H37" s="6"/>
      <c r="I37" s="6"/>
      <c r="J37" s="6"/>
      <c r="K37" s="6"/>
      <c r="L37" s="17"/>
      <c r="M37" s="17"/>
    </row>
    <row r="38" ht="15.75" customHeight="1">
      <c r="A38" s="6"/>
      <c r="B38" s="6"/>
      <c r="C38" s="6"/>
      <c r="D38" s="26"/>
      <c r="E38" s="27"/>
      <c r="F38" s="7"/>
      <c r="G38" s="7"/>
      <c r="H38" s="6"/>
      <c r="I38" s="6"/>
      <c r="J38" s="6"/>
      <c r="K38" s="6"/>
      <c r="L38" s="17"/>
      <c r="M38" s="17"/>
    </row>
    <row r="39" ht="15.75" customHeight="1">
      <c r="A39" s="6"/>
      <c r="B39" s="6"/>
      <c r="C39" s="6"/>
      <c r="D39" s="26"/>
      <c r="E39" s="27"/>
      <c r="F39" s="7"/>
      <c r="G39" s="7"/>
      <c r="H39" s="6"/>
      <c r="I39" s="6"/>
      <c r="J39" s="6"/>
      <c r="K39" s="6"/>
      <c r="L39" s="17"/>
      <c r="M39" s="17"/>
    </row>
    <row r="40" ht="15.75" customHeight="1">
      <c r="A40" s="6"/>
      <c r="B40" s="6"/>
      <c r="C40" s="6"/>
      <c r="D40" s="26"/>
      <c r="E40" s="27"/>
      <c r="F40" s="7"/>
      <c r="G40" s="7"/>
      <c r="H40" s="6"/>
      <c r="I40" s="6"/>
      <c r="J40" s="6"/>
      <c r="K40" s="6"/>
      <c r="L40" s="17"/>
      <c r="M40" s="17"/>
    </row>
    <row r="41" ht="15.75" customHeight="1">
      <c r="A41" s="6"/>
      <c r="B41" s="6"/>
      <c r="C41" s="6"/>
      <c r="D41" s="26"/>
      <c r="E41" s="27"/>
      <c r="F41" s="7"/>
      <c r="G41" s="7"/>
      <c r="H41" s="6"/>
      <c r="I41" s="6"/>
      <c r="J41" s="6"/>
      <c r="K41" s="6"/>
      <c r="L41" s="17"/>
      <c r="M41" s="17"/>
    </row>
    <row r="42" ht="15.75" customHeight="1">
      <c r="A42" s="6"/>
      <c r="B42" s="6"/>
      <c r="C42" s="6"/>
      <c r="D42" s="26"/>
      <c r="E42" s="27"/>
      <c r="F42" s="7"/>
      <c r="G42" s="7"/>
      <c r="H42" s="6"/>
      <c r="I42" s="6"/>
      <c r="J42" s="6"/>
      <c r="K42" s="6"/>
      <c r="L42" s="17"/>
      <c r="M42" s="17"/>
    </row>
    <row r="43" ht="15.75" customHeight="1">
      <c r="A43" s="6"/>
      <c r="B43" s="6"/>
      <c r="C43" s="6"/>
      <c r="D43" s="26"/>
      <c r="E43" s="27"/>
      <c r="F43" s="7"/>
      <c r="G43" s="7"/>
      <c r="H43" s="6"/>
      <c r="I43" s="6"/>
      <c r="J43" s="6"/>
      <c r="K43" s="6"/>
      <c r="L43" s="17"/>
      <c r="M43" s="17"/>
    </row>
    <row r="44" ht="15.75" customHeight="1">
      <c r="A44" s="6"/>
      <c r="B44" s="6"/>
      <c r="C44" s="6"/>
      <c r="D44" s="26"/>
      <c r="E44" s="27"/>
      <c r="F44" s="7"/>
      <c r="G44" s="7"/>
      <c r="H44" s="6"/>
      <c r="I44" s="6"/>
      <c r="J44" s="6"/>
      <c r="K44" s="6"/>
      <c r="L44" s="17"/>
      <c r="M44" s="17"/>
    </row>
    <row r="45" ht="15.75" customHeight="1">
      <c r="A45" s="6"/>
      <c r="B45" s="6"/>
      <c r="C45" s="6"/>
      <c r="D45" s="26"/>
      <c r="E45" s="27"/>
      <c r="F45" s="7"/>
      <c r="G45" s="7"/>
      <c r="H45" s="6"/>
      <c r="I45" s="6"/>
      <c r="J45" s="6"/>
      <c r="K45" s="6"/>
      <c r="L45" s="17"/>
      <c r="M45" s="17"/>
    </row>
    <row r="46" ht="15.75" customHeight="1">
      <c r="A46" s="6"/>
      <c r="B46" s="6"/>
      <c r="C46" s="6"/>
      <c r="D46" s="26"/>
      <c r="E46" s="27"/>
      <c r="F46" s="7"/>
      <c r="G46" s="7"/>
      <c r="H46" s="6"/>
      <c r="I46" s="6"/>
      <c r="J46" s="6"/>
      <c r="K46" s="6"/>
      <c r="L46" s="17"/>
      <c r="M46" s="17"/>
    </row>
    <row r="47" ht="15.75" customHeight="1">
      <c r="A47" s="6"/>
      <c r="B47" s="6"/>
      <c r="C47" s="6"/>
      <c r="D47" s="26"/>
      <c r="E47" s="27"/>
      <c r="F47" s="7"/>
      <c r="G47" s="7"/>
      <c r="H47" s="6"/>
      <c r="I47" s="6"/>
      <c r="J47" s="6"/>
      <c r="K47" s="6"/>
      <c r="L47" s="17"/>
      <c r="M47" s="17"/>
    </row>
    <row r="48" ht="15.75" customHeight="1">
      <c r="A48" s="6"/>
      <c r="B48" s="6"/>
      <c r="C48" s="6"/>
      <c r="D48" s="26"/>
      <c r="E48" s="27"/>
      <c r="F48" s="7"/>
      <c r="G48" s="7"/>
      <c r="H48" s="6"/>
      <c r="I48" s="6"/>
      <c r="J48" s="6"/>
      <c r="K48" s="6"/>
      <c r="L48" s="17"/>
      <c r="M48" s="17"/>
    </row>
    <row r="49" ht="15.75" customHeight="1">
      <c r="A49" s="6"/>
      <c r="B49" s="6"/>
      <c r="C49" s="6"/>
      <c r="D49" s="26"/>
      <c r="E49" s="27"/>
      <c r="F49" s="7"/>
      <c r="G49" s="7"/>
      <c r="H49" s="6"/>
      <c r="I49" s="6"/>
      <c r="J49" s="6"/>
      <c r="K49" s="6"/>
      <c r="L49" s="17"/>
      <c r="M49" s="17"/>
    </row>
    <row r="50" ht="15.75" customHeight="1">
      <c r="A50" s="6"/>
      <c r="B50" s="6"/>
      <c r="C50" s="6"/>
      <c r="D50" s="26"/>
      <c r="E50" s="27"/>
      <c r="F50" s="7"/>
      <c r="G50" s="7"/>
      <c r="H50" s="6"/>
      <c r="I50" s="6"/>
      <c r="J50" s="6"/>
      <c r="K50" s="6"/>
      <c r="L50" s="17"/>
      <c r="M50" s="17"/>
    </row>
    <row r="51" ht="15.75" customHeight="1">
      <c r="A51" s="6"/>
      <c r="B51" s="6"/>
      <c r="C51" s="6"/>
      <c r="D51" s="26"/>
      <c r="E51" s="27"/>
      <c r="F51" s="7"/>
      <c r="G51" s="7"/>
      <c r="H51" s="6"/>
      <c r="I51" s="6"/>
      <c r="J51" s="6"/>
      <c r="K51" s="6"/>
      <c r="L51" s="17"/>
      <c r="M51" s="17"/>
    </row>
    <row r="52" ht="15.75" customHeight="1">
      <c r="A52" s="6"/>
      <c r="B52" s="6"/>
      <c r="C52" s="6"/>
      <c r="D52" s="26"/>
      <c r="E52" s="27"/>
      <c r="F52" s="7"/>
      <c r="G52" s="7"/>
      <c r="H52" s="6"/>
      <c r="I52" s="6"/>
      <c r="J52" s="6"/>
      <c r="K52" s="6"/>
      <c r="L52" s="17"/>
      <c r="M52" s="17"/>
    </row>
    <row r="53" ht="15.75" customHeight="1">
      <c r="A53" s="6"/>
      <c r="B53" s="6"/>
      <c r="C53" s="6"/>
      <c r="D53" s="26"/>
      <c r="E53" s="27"/>
      <c r="F53" s="7"/>
      <c r="G53" s="7"/>
      <c r="H53" s="6"/>
      <c r="I53" s="6"/>
      <c r="J53" s="6"/>
      <c r="K53" s="6"/>
      <c r="L53" s="17"/>
      <c r="M53" s="17"/>
    </row>
    <row r="54" ht="15.75" customHeight="1">
      <c r="A54" s="6"/>
      <c r="B54" s="6"/>
      <c r="C54" s="6"/>
      <c r="D54" s="26"/>
      <c r="E54" s="27"/>
      <c r="F54" s="7"/>
      <c r="G54" s="7"/>
      <c r="H54" s="6"/>
      <c r="I54" s="6"/>
      <c r="J54" s="6"/>
      <c r="K54" s="6"/>
      <c r="L54" s="17"/>
      <c r="M54" s="17"/>
    </row>
    <row r="55" ht="15.75" customHeight="1">
      <c r="A55" s="6"/>
      <c r="B55" s="6"/>
      <c r="C55" s="6"/>
      <c r="D55" s="26"/>
      <c r="E55" s="27"/>
      <c r="F55" s="7"/>
      <c r="G55" s="7"/>
      <c r="H55" s="6"/>
      <c r="I55" s="6"/>
      <c r="J55" s="6"/>
      <c r="K55" s="6"/>
      <c r="L55" s="17"/>
      <c r="M55" s="17"/>
    </row>
    <row r="56" ht="15.75" customHeight="1">
      <c r="A56" s="6"/>
      <c r="B56" s="6"/>
      <c r="C56" s="6"/>
      <c r="D56" s="26"/>
      <c r="E56" s="27"/>
      <c r="F56" s="7"/>
      <c r="G56" s="7"/>
      <c r="H56" s="6"/>
      <c r="I56" s="6"/>
      <c r="J56" s="6"/>
      <c r="K56" s="6"/>
      <c r="L56" s="17"/>
      <c r="M56" s="17"/>
    </row>
    <row r="57" ht="15.75" customHeight="1">
      <c r="A57" s="6"/>
      <c r="B57" s="6"/>
      <c r="C57" s="6"/>
      <c r="D57" s="26"/>
      <c r="E57" s="27"/>
      <c r="F57" s="7"/>
      <c r="G57" s="7"/>
      <c r="H57" s="6"/>
      <c r="I57" s="6"/>
      <c r="J57" s="6"/>
      <c r="K57" s="6"/>
      <c r="L57" s="17"/>
      <c r="M57" s="17"/>
    </row>
    <row r="58" ht="15.75" customHeight="1">
      <c r="A58" s="6"/>
      <c r="B58" s="6"/>
      <c r="C58" s="6"/>
      <c r="D58" s="26"/>
      <c r="E58" s="27"/>
      <c r="F58" s="7"/>
      <c r="G58" s="7"/>
      <c r="H58" s="6"/>
      <c r="I58" s="6"/>
      <c r="J58" s="6"/>
      <c r="K58" s="6"/>
      <c r="L58" s="17"/>
      <c r="M58" s="17"/>
    </row>
    <row r="59" ht="15.75" customHeight="1">
      <c r="A59" s="6"/>
      <c r="B59" s="6"/>
      <c r="C59" s="6"/>
      <c r="D59" s="26"/>
      <c r="E59" s="27"/>
      <c r="F59" s="7"/>
      <c r="G59" s="7"/>
      <c r="H59" s="6"/>
      <c r="I59" s="6"/>
      <c r="J59" s="6"/>
      <c r="K59" s="6"/>
      <c r="L59" s="17"/>
      <c r="M59" s="17"/>
    </row>
    <row r="60" ht="15.75" customHeight="1">
      <c r="A60" s="6"/>
      <c r="B60" s="6"/>
      <c r="C60" s="6"/>
      <c r="D60" s="26"/>
      <c r="E60" s="27"/>
      <c r="F60" s="7"/>
      <c r="G60" s="7"/>
      <c r="H60" s="6"/>
      <c r="I60" s="6"/>
      <c r="J60" s="6"/>
      <c r="K60" s="6"/>
      <c r="L60" s="17"/>
      <c r="M60" s="17"/>
    </row>
    <row r="61" ht="15.75" customHeight="1">
      <c r="A61" s="6"/>
      <c r="B61" s="6"/>
      <c r="C61" s="6"/>
      <c r="D61" s="26"/>
      <c r="E61" s="27"/>
      <c r="F61" s="7"/>
      <c r="G61" s="7"/>
      <c r="H61" s="6"/>
      <c r="I61" s="6"/>
      <c r="J61" s="6"/>
      <c r="K61" s="6"/>
      <c r="L61" s="17"/>
      <c r="M61" s="17"/>
    </row>
    <row r="62" ht="15.75" customHeight="1">
      <c r="A62" s="6"/>
      <c r="B62" s="6"/>
      <c r="C62" s="6"/>
      <c r="D62" s="26"/>
      <c r="E62" s="27"/>
      <c r="F62" s="7"/>
      <c r="G62" s="7"/>
      <c r="H62" s="6"/>
      <c r="I62" s="6"/>
      <c r="J62" s="6"/>
      <c r="K62" s="6"/>
      <c r="L62" s="17"/>
      <c r="M62" s="17"/>
    </row>
    <row r="63" ht="15.75" customHeight="1">
      <c r="A63" s="6"/>
      <c r="B63" s="6"/>
      <c r="C63" s="6"/>
      <c r="D63" s="26"/>
      <c r="E63" s="27"/>
      <c r="F63" s="7"/>
      <c r="G63" s="7"/>
      <c r="H63" s="6"/>
      <c r="I63" s="6"/>
      <c r="J63" s="6"/>
      <c r="K63" s="6"/>
      <c r="L63" s="17"/>
      <c r="M63" s="17"/>
    </row>
    <row r="64" ht="15.75" customHeight="1">
      <c r="A64" s="6"/>
      <c r="B64" s="6"/>
      <c r="C64" s="6"/>
      <c r="D64" s="26"/>
      <c r="E64" s="27"/>
      <c r="F64" s="7"/>
      <c r="G64" s="7"/>
      <c r="H64" s="6"/>
      <c r="I64" s="6"/>
      <c r="J64" s="6"/>
      <c r="K64" s="6"/>
      <c r="L64" s="17"/>
      <c r="M64" s="17"/>
    </row>
    <row r="65" ht="15.75" customHeight="1">
      <c r="A65" s="6"/>
      <c r="B65" s="6"/>
      <c r="C65" s="6"/>
      <c r="D65" s="26"/>
      <c r="E65" s="27"/>
      <c r="F65" s="7"/>
      <c r="G65" s="7"/>
      <c r="H65" s="6"/>
      <c r="I65" s="6"/>
      <c r="J65" s="6"/>
      <c r="K65" s="6"/>
      <c r="L65" s="17"/>
      <c r="M65" s="17"/>
    </row>
    <row r="66" ht="15.75" customHeight="1">
      <c r="A66" s="6"/>
      <c r="B66" s="6"/>
      <c r="C66" s="6"/>
      <c r="D66" s="26"/>
      <c r="E66" s="27"/>
      <c r="F66" s="7"/>
      <c r="G66" s="7"/>
      <c r="H66" s="6"/>
      <c r="I66" s="6"/>
      <c r="J66" s="6"/>
      <c r="K66" s="6"/>
      <c r="L66" s="17"/>
      <c r="M66" s="17"/>
    </row>
    <row r="67" ht="15.75" customHeight="1">
      <c r="A67" s="6"/>
      <c r="B67" s="6"/>
      <c r="C67" s="6"/>
      <c r="D67" s="26"/>
      <c r="E67" s="27"/>
      <c r="F67" s="7"/>
      <c r="G67" s="7"/>
      <c r="H67" s="6"/>
      <c r="I67" s="6"/>
      <c r="J67" s="6"/>
      <c r="K67" s="6"/>
      <c r="L67" s="17"/>
      <c r="M67" s="17"/>
    </row>
    <row r="68" ht="15.75" customHeight="1">
      <c r="A68" s="6"/>
      <c r="B68" s="6"/>
      <c r="C68" s="6"/>
      <c r="D68" s="26"/>
      <c r="E68" s="27"/>
      <c r="F68" s="7"/>
      <c r="G68" s="7"/>
      <c r="H68" s="6"/>
      <c r="I68" s="6"/>
      <c r="J68" s="6"/>
      <c r="K68" s="6"/>
      <c r="L68" s="17"/>
      <c r="M68" s="17"/>
    </row>
    <row r="69" ht="15.75" customHeight="1">
      <c r="A69" s="6"/>
      <c r="B69" s="6"/>
      <c r="C69" s="6"/>
      <c r="D69" s="26"/>
      <c r="E69" s="27"/>
      <c r="F69" s="7"/>
      <c r="G69" s="7"/>
      <c r="H69" s="6"/>
      <c r="I69" s="6"/>
      <c r="J69" s="6"/>
      <c r="K69" s="6"/>
      <c r="L69" s="17"/>
      <c r="M69" s="17"/>
    </row>
    <row r="70" ht="15.75" customHeight="1">
      <c r="A70" s="6"/>
      <c r="B70" s="6"/>
      <c r="C70" s="6"/>
      <c r="D70" s="26"/>
      <c r="E70" s="27"/>
      <c r="F70" s="7"/>
      <c r="G70" s="7"/>
      <c r="H70" s="6"/>
      <c r="I70" s="6"/>
      <c r="J70" s="6"/>
      <c r="K70" s="6"/>
      <c r="L70" s="17"/>
      <c r="M70" s="17"/>
    </row>
    <row r="71" ht="15.75" customHeight="1">
      <c r="A71" s="6"/>
      <c r="B71" s="6"/>
      <c r="C71" s="6"/>
      <c r="D71" s="26"/>
      <c r="E71" s="27"/>
      <c r="F71" s="7"/>
      <c r="G71" s="7"/>
      <c r="H71" s="6"/>
      <c r="I71" s="6"/>
      <c r="J71" s="6"/>
      <c r="K71" s="6"/>
      <c r="L71" s="17"/>
      <c r="M71" s="17"/>
    </row>
    <row r="72" ht="15.75" customHeight="1">
      <c r="A72" s="6"/>
      <c r="B72" s="6"/>
      <c r="C72" s="6"/>
      <c r="D72" s="26"/>
      <c r="E72" s="27"/>
      <c r="F72" s="7"/>
      <c r="G72" s="7"/>
      <c r="H72" s="6"/>
      <c r="I72" s="6"/>
      <c r="J72" s="6"/>
      <c r="K72" s="6"/>
      <c r="L72" s="17"/>
      <c r="M72" s="17"/>
    </row>
    <row r="73" ht="15.75" customHeight="1">
      <c r="A73" s="6"/>
      <c r="B73" s="6"/>
      <c r="C73" s="6"/>
      <c r="D73" s="26"/>
      <c r="E73" s="27"/>
      <c r="F73" s="7"/>
      <c r="G73" s="7"/>
      <c r="H73" s="6"/>
      <c r="I73" s="6"/>
      <c r="J73" s="6"/>
      <c r="K73" s="6"/>
      <c r="L73" s="17"/>
      <c r="M73" s="17"/>
    </row>
    <row r="74" ht="15.75" customHeight="1">
      <c r="A74" s="6"/>
      <c r="B74" s="6"/>
      <c r="C74" s="6"/>
      <c r="D74" s="26"/>
      <c r="E74" s="27"/>
      <c r="F74" s="7"/>
      <c r="G74" s="7"/>
      <c r="H74" s="6"/>
      <c r="I74" s="6"/>
      <c r="J74" s="6"/>
      <c r="K74" s="6"/>
      <c r="L74" s="17"/>
      <c r="M74" s="17"/>
    </row>
    <row r="75" ht="15.75" customHeight="1">
      <c r="A75" s="6"/>
      <c r="B75" s="6"/>
      <c r="C75" s="6"/>
      <c r="D75" s="26"/>
      <c r="E75" s="27"/>
      <c r="F75" s="7"/>
      <c r="G75" s="7"/>
      <c r="H75" s="6"/>
      <c r="I75" s="6"/>
      <c r="J75" s="6"/>
      <c r="K75" s="6"/>
      <c r="L75" s="17"/>
      <c r="M75" s="17"/>
    </row>
    <row r="76" ht="15.75" customHeight="1">
      <c r="A76" s="6"/>
      <c r="B76" s="6"/>
      <c r="C76" s="6"/>
      <c r="D76" s="26"/>
      <c r="E76" s="27"/>
      <c r="F76" s="7"/>
      <c r="G76" s="7"/>
      <c r="H76" s="6"/>
      <c r="I76" s="6"/>
      <c r="J76" s="6"/>
      <c r="K76" s="6"/>
      <c r="L76" s="17"/>
      <c r="M76" s="17"/>
    </row>
    <row r="77" ht="15.75" customHeight="1">
      <c r="A77" s="6"/>
      <c r="B77" s="6"/>
      <c r="C77" s="6"/>
      <c r="D77" s="26"/>
      <c r="E77" s="27"/>
      <c r="F77" s="7"/>
      <c r="G77" s="7"/>
      <c r="H77" s="6"/>
      <c r="I77" s="6"/>
      <c r="J77" s="6"/>
      <c r="K77" s="6"/>
      <c r="L77" s="17"/>
      <c r="M77" s="17"/>
    </row>
    <row r="78" ht="15.75" customHeight="1">
      <c r="A78" s="6"/>
      <c r="B78" s="6"/>
      <c r="C78" s="6"/>
      <c r="D78" s="26"/>
      <c r="E78" s="27"/>
      <c r="F78" s="7"/>
      <c r="G78" s="7"/>
      <c r="H78" s="6"/>
      <c r="I78" s="6"/>
      <c r="J78" s="6"/>
      <c r="K78" s="6"/>
      <c r="L78" s="17"/>
      <c r="M78" s="17"/>
    </row>
    <row r="79" ht="15.75" customHeight="1">
      <c r="A79" s="6"/>
      <c r="B79" s="6"/>
      <c r="C79" s="6"/>
      <c r="D79" s="26"/>
      <c r="E79" s="27"/>
      <c r="F79" s="7"/>
      <c r="G79" s="7"/>
      <c r="H79" s="6"/>
      <c r="I79" s="6"/>
      <c r="J79" s="6"/>
      <c r="K79" s="6"/>
      <c r="L79" s="17"/>
      <c r="M79" s="17"/>
    </row>
    <row r="80" ht="15.75" customHeight="1">
      <c r="A80" s="6"/>
      <c r="B80" s="6"/>
      <c r="C80" s="6"/>
      <c r="D80" s="26"/>
      <c r="E80" s="27"/>
      <c r="F80" s="7"/>
      <c r="G80" s="7"/>
      <c r="H80" s="6"/>
      <c r="I80" s="6"/>
      <c r="J80" s="6"/>
      <c r="K80" s="6"/>
      <c r="L80" s="17"/>
      <c r="M80" s="17"/>
    </row>
    <row r="81" ht="15.75" customHeight="1">
      <c r="A81" s="6"/>
      <c r="B81" s="6"/>
      <c r="C81" s="6"/>
      <c r="D81" s="26"/>
      <c r="E81" s="27"/>
      <c r="F81" s="7"/>
      <c r="G81" s="7"/>
      <c r="H81" s="6"/>
      <c r="I81" s="6"/>
      <c r="J81" s="6"/>
      <c r="K81" s="6"/>
      <c r="L81" s="17"/>
      <c r="M81" s="17"/>
    </row>
    <row r="82" ht="15.75" customHeight="1">
      <c r="A82" s="6"/>
      <c r="B82" s="6"/>
      <c r="C82" s="6"/>
      <c r="D82" s="26"/>
      <c r="E82" s="27"/>
      <c r="F82" s="7"/>
      <c r="G82" s="7"/>
      <c r="H82" s="6"/>
      <c r="I82" s="6"/>
      <c r="J82" s="6"/>
      <c r="K82" s="6"/>
      <c r="L82" s="17"/>
      <c r="M82" s="17"/>
    </row>
    <row r="83" ht="15.75" customHeight="1">
      <c r="A83" s="6"/>
      <c r="B83" s="6"/>
      <c r="C83" s="6"/>
      <c r="D83" s="26"/>
      <c r="E83" s="27"/>
      <c r="F83" s="7"/>
      <c r="G83" s="7"/>
      <c r="H83" s="6"/>
      <c r="I83" s="6"/>
      <c r="J83" s="6"/>
      <c r="K83" s="6"/>
      <c r="L83" s="17"/>
      <c r="M83" s="17"/>
    </row>
    <row r="84" ht="15.75" customHeight="1">
      <c r="A84" s="6"/>
      <c r="B84" s="6"/>
      <c r="C84" s="6"/>
      <c r="D84" s="26"/>
      <c r="E84" s="27"/>
      <c r="F84" s="7"/>
      <c r="G84" s="7"/>
      <c r="H84" s="6"/>
      <c r="I84" s="6"/>
      <c r="J84" s="6"/>
      <c r="K84" s="6"/>
      <c r="L84" s="17"/>
      <c r="M84" s="17"/>
    </row>
    <row r="85" ht="15.75" customHeight="1">
      <c r="A85" s="6"/>
      <c r="B85" s="6"/>
      <c r="C85" s="6"/>
      <c r="D85" s="26"/>
      <c r="E85" s="27"/>
      <c r="F85" s="7"/>
      <c r="G85" s="7"/>
      <c r="H85" s="6"/>
      <c r="I85" s="6"/>
      <c r="J85" s="6"/>
      <c r="K85" s="6"/>
      <c r="L85" s="17"/>
      <c r="M85" s="17"/>
    </row>
    <row r="86" ht="15.75" customHeight="1">
      <c r="A86" s="6"/>
      <c r="B86" s="6"/>
      <c r="C86" s="6"/>
      <c r="D86" s="26"/>
      <c r="E86" s="27"/>
      <c r="F86" s="7"/>
      <c r="G86" s="7"/>
      <c r="H86" s="6"/>
      <c r="I86" s="6"/>
      <c r="J86" s="6"/>
      <c r="K86" s="6"/>
      <c r="L86" s="17"/>
      <c r="M86" s="17"/>
    </row>
    <row r="87" ht="15.75" customHeight="1">
      <c r="A87" s="6"/>
      <c r="B87" s="6"/>
      <c r="C87" s="6"/>
      <c r="D87" s="26"/>
      <c r="E87" s="27"/>
      <c r="F87" s="7"/>
      <c r="G87" s="7"/>
      <c r="H87" s="6"/>
      <c r="I87" s="6"/>
      <c r="J87" s="6"/>
      <c r="K87" s="6"/>
      <c r="L87" s="17"/>
      <c r="M87" s="17"/>
    </row>
    <row r="88" ht="15.75" customHeight="1">
      <c r="A88" s="6"/>
      <c r="B88" s="6"/>
      <c r="C88" s="6"/>
      <c r="D88" s="26"/>
      <c r="E88" s="27"/>
      <c r="F88" s="7"/>
      <c r="G88" s="7"/>
      <c r="H88" s="6"/>
      <c r="I88" s="6"/>
      <c r="J88" s="6"/>
      <c r="K88" s="6"/>
      <c r="L88" s="17"/>
      <c r="M88" s="17"/>
    </row>
    <row r="89" ht="15.75" customHeight="1">
      <c r="A89" s="6"/>
      <c r="B89" s="6"/>
      <c r="C89" s="6"/>
      <c r="D89" s="26"/>
      <c r="E89" s="27"/>
      <c r="F89" s="7"/>
      <c r="G89" s="7"/>
      <c r="H89" s="6"/>
      <c r="I89" s="6"/>
      <c r="J89" s="6"/>
      <c r="K89" s="6"/>
      <c r="L89" s="17"/>
      <c r="M89" s="17"/>
    </row>
    <row r="90" ht="15.75" customHeight="1">
      <c r="A90" s="6"/>
      <c r="B90" s="6"/>
      <c r="C90" s="6"/>
      <c r="D90" s="26"/>
      <c r="E90" s="27"/>
      <c r="F90" s="7"/>
      <c r="G90" s="7"/>
      <c r="H90" s="6"/>
      <c r="I90" s="6"/>
      <c r="J90" s="6"/>
      <c r="K90" s="6"/>
      <c r="L90" s="17"/>
      <c r="M90" s="17"/>
    </row>
    <row r="91" ht="15.75" customHeight="1">
      <c r="A91" s="6"/>
      <c r="B91" s="6"/>
      <c r="C91" s="6"/>
      <c r="D91" s="26"/>
      <c r="E91" s="27"/>
      <c r="F91" s="7"/>
      <c r="G91" s="7"/>
      <c r="H91" s="6"/>
      <c r="I91" s="6"/>
      <c r="J91" s="6"/>
      <c r="K91" s="6"/>
      <c r="L91" s="17"/>
      <c r="M91" s="17"/>
    </row>
    <row r="92" ht="15.75" customHeight="1">
      <c r="A92" s="6"/>
      <c r="B92" s="6"/>
      <c r="C92" s="6"/>
      <c r="D92" s="26"/>
      <c r="E92" s="27"/>
      <c r="F92" s="7"/>
      <c r="G92" s="7"/>
      <c r="H92" s="6"/>
      <c r="I92" s="6"/>
      <c r="J92" s="6"/>
      <c r="K92" s="6"/>
      <c r="L92" s="17"/>
      <c r="M92" s="17"/>
    </row>
    <row r="93" ht="15.75" customHeight="1">
      <c r="A93" s="6"/>
      <c r="B93" s="6"/>
      <c r="C93" s="6"/>
      <c r="D93" s="26"/>
      <c r="E93" s="27"/>
      <c r="F93" s="7"/>
      <c r="G93" s="7"/>
      <c r="H93" s="6"/>
      <c r="I93" s="6"/>
      <c r="J93" s="6"/>
      <c r="K93" s="6"/>
      <c r="L93" s="17"/>
      <c r="M93" s="17"/>
    </row>
    <row r="94" ht="15.75" customHeight="1">
      <c r="A94" s="6"/>
      <c r="B94" s="6"/>
      <c r="C94" s="6"/>
      <c r="D94" s="26"/>
      <c r="E94" s="27"/>
      <c r="F94" s="7"/>
      <c r="G94" s="7"/>
      <c r="H94" s="6"/>
      <c r="I94" s="6"/>
      <c r="J94" s="6"/>
      <c r="K94" s="6"/>
      <c r="L94" s="17"/>
      <c r="M94" s="17"/>
    </row>
    <row r="95" ht="15.75" customHeight="1">
      <c r="A95" s="6"/>
      <c r="B95" s="6"/>
      <c r="C95" s="6"/>
      <c r="D95" s="26"/>
      <c r="E95" s="27"/>
      <c r="F95" s="7"/>
      <c r="G95" s="7"/>
      <c r="H95" s="6"/>
      <c r="I95" s="6"/>
      <c r="J95" s="6"/>
      <c r="K95" s="6"/>
      <c r="L95" s="17"/>
      <c r="M95" s="17"/>
    </row>
    <row r="96" ht="15.75" customHeight="1">
      <c r="A96" s="6"/>
      <c r="B96" s="6"/>
      <c r="C96" s="6"/>
      <c r="D96" s="26"/>
      <c r="E96" s="27"/>
      <c r="F96" s="7"/>
      <c r="G96" s="7"/>
      <c r="H96" s="6"/>
      <c r="I96" s="6"/>
      <c r="J96" s="6"/>
      <c r="K96" s="6"/>
      <c r="L96" s="17"/>
      <c r="M96" s="17"/>
    </row>
    <row r="97" ht="15.75" customHeight="1">
      <c r="A97" s="6"/>
      <c r="B97" s="6"/>
      <c r="C97" s="6"/>
      <c r="D97" s="26"/>
      <c r="E97" s="27"/>
      <c r="F97" s="7"/>
      <c r="G97" s="7"/>
      <c r="H97" s="6"/>
      <c r="I97" s="6"/>
      <c r="J97" s="6"/>
      <c r="K97" s="6"/>
      <c r="L97" s="17"/>
      <c r="M97" s="17"/>
    </row>
    <row r="98" ht="15.75" customHeight="1">
      <c r="A98" s="6"/>
      <c r="B98" s="6"/>
      <c r="C98" s="6"/>
      <c r="D98" s="26"/>
      <c r="E98" s="27"/>
      <c r="F98" s="7"/>
      <c r="G98" s="7"/>
      <c r="H98" s="6"/>
      <c r="I98" s="6"/>
      <c r="J98" s="6"/>
      <c r="K98" s="6"/>
      <c r="L98" s="17"/>
      <c r="M98" s="17"/>
    </row>
    <row r="99" ht="15.75" customHeight="1">
      <c r="A99" s="6"/>
      <c r="B99" s="6"/>
      <c r="C99" s="6"/>
      <c r="D99" s="26"/>
      <c r="E99" s="27"/>
      <c r="F99" s="7"/>
      <c r="G99" s="7"/>
      <c r="H99" s="6"/>
      <c r="I99" s="6"/>
      <c r="J99" s="6"/>
      <c r="K99" s="6"/>
      <c r="L99" s="17"/>
      <c r="M99" s="17"/>
    </row>
    <row r="100" ht="15.75" customHeight="1">
      <c r="A100" s="10"/>
      <c r="B100" s="10"/>
      <c r="C100" s="10"/>
      <c r="D100" s="28"/>
      <c r="E100" s="29"/>
      <c r="F100" s="11"/>
      <c r="G100" s="11"/>
      <c r="H100" s="10"/>
      <c r="I100" s="10"/>
      <c r="J100" s="10"/>
      <c r="K100" s="10"/>
      <c r="L100" s="10"/>
      <c r="M100" s="10"/>
    </row>
    <row r="101" ht="15.75" customHeight="1">
      <c r="A101" s="10"/>
      <c r="B101" s="10"/>
      <c r="C101" s="10"/>
      <c r="D101" s="28"/>
      <c r="E101" s="29"/>
      <c r="F101" s="11"/>
      <c r="G101" s="11"/>
      <c r="H101" s="10"/>
      <c r="I101" s="10"/>
      <c r="J101" s="10"/>
      <c r="K101" s="10"/>
      <c r="L101" s="10"/>
      <c r="M101" s="10"/>
    </row>
    <row r="102" ht="15.75" customHeight="1">
      <c r="A102" s="10"/>
      <c r="B102" s="10"/>
      <c r="C102" s="10"/>
      <c r="D102" s="28"/>
      <c r="E102" s="29"/>
      <c r="F102" s="11"/>
      <c r="G102" s="11"/>
      <c r="H102" s="10"/>
      <c r="I102" s="10"/>
      <c r="J102" s="10"/>
      <c r="K102" s="10"/>
      <c r="L102" s="10"/>
      <c r="M102" s="10"/>
    </row>
    <row r="103" ht="15.75" customHeight="1">
      <c r="A103" s="10"/>
      <c r="B103" s="10"/>
      <c r="C103" s="10"/>
      <c r="D103" s="28"/>
      <c r="E103" s="29"/>
      <c r="F103" s="11"/>
      <c r="G103" s="11"/>
      <c r="H103" s="10"/>
      <c r="I103" s="10"/>
      <c r="J103" s="10"/>
      <c r="K103" s="10"/>
      <c r="L103" s="10"/>
      <c r="M103" s="10"/>
    </row>
    <row r="104" ht="15.75" customHeight="1">
      <c r="A104" s="10"/>
      <c r="B104" s="10"/>
      <c r="C104" s="10"/>
      <c r="D104" s="28"/>
      <c r="E104" s="29"/>
      <c r="F104" s="11"/>
      <c r="G104" s="11"/>
      <c r="H104" s="10"/>
      <c r="I104" s="10"/>
      <c r="J104" s="10"/>
      <c r="K104" s="10"/>
      <c r="L104" s="10"/>
      <c r="M104" s="10"/>
    </row>
    <row r="105" ht="15.75" customHeight="1">
      <c r="A105" s="10"/>
      <c r="B105" s="10"/>
      <c r="C105" s="10"/>
      <c r="D105" s="28"/>
      <c r="E105" s="29"/>
      <c r="F105" s="11"/>
      <c r="G105" s="11"/>
      <c r="H105" s="10"/>
      <c r="I105" s="10"/>
      <c r="J105" s="10"/>
      <c r="K105" s="10"/>
      <c r="L105" s="10"/>
      <c r="M105" s="10"/>
    </row>
    <row r="106" ht="15.75" customHeight="1">
      <c r="A106" s="10"/>
      <c r="B106" s="10"/>
      <c r="C106" s="10"/>
      <c r="D106" s="28"/>
      <c r="E106" s="29"/>
      <c r="F106" s="11"/>
      <c r="G106" s="11"/>
      <c r="H106" s="10"/>
      <c r="I106" s="10"/>
      <c r="J106" s="10"/>
      <c r="K106" s="10"/>
      <c r="L106" s="10"/>
      <c r="M106" s="10"/>
    </row>
    <row r="107" ht="15.75" customHeight="1">
      <c r="A107" s="10"/>
      <c r="B107" s="10"/>
      <c r="C107" s="10"/>
      <c r="D107" s="28"/>
      <c r="E107" s="29"/>
      <c r="F107" s="11"/>
      <c r="G107" s="11"/>
      <c r="H107" s="10"/>
      <c r="I107" s="10"/>
      <c r="J107" s="10"/>
      <c r="K107" s="10"/>
      <c r="L107" s="10"/>
      <c r="M107" s="10"/>
    </row>
    <row r="108" ht="15.75" customHeight="1">
      <c r="A108" s="10"/>
      <c r="B108" s="10"/>
      <c r="C108" s="10"/>
      <c r="D108" s="28"/>
      <c r="E108" s="29"/>
      <c r="F108" s="11"/>
      <c r="G108" s="11"/>
      <c r="H108" s="10"/>
      <c r="I108" s="10"/>
      <c r="J108" s="10"/>
      <c r="K108" s="10"/>
      <c r="L108" s="10"/>
      <c r="M108" s="10"/>
    </row>
    <row r="109" ht="15.75" customHeight="1">
      <c r="A109" s="10"/>
      <c r="B109" s="10"/>
      <c r="C109" s="10"/>
      <c r="D109" s="28"/>
      <c r="E109" s="29"/>
      <c r="F109" s="11"/>
      <c r="G109" s="11"/>
      <c r="H109" s="10"/>
      <c r="I109" s="10"/>
      <c r="J109" s="10"/>
      <c r="K109" s="10"/>
      <c r="L109" s="10"/>
      <c r="M109" s="10"/>
    </row>
    <row r="110" ht="15.75" customHeight="1">
      <c r="A110" s="10"/>
      <c r="B110" s="10"/>
      <c r="C110" s="10"/>
      <c r="D110" s="28"/>
      <c r="E110" s="29"/>
      <c r="F110" s="11"/>
      <c r="G110" s="11"/>
      <c r="H110" s="10"/>
      <c r="I110" s="10"/>
      <c r="J110" s="10"/>
      <c r="K110" s="10"/>
      <c r="L110" s="10"/>
      <c r="M110" s="10"/>
    </row>
    <row r="111" ht="15.75" customHeight="1">
      <c r="A111" s="10"/>
      <c r="B111" s="10"/>
      <c r="C111" s="10"/>
      <c r="D111" s="28"/>
      <c r="E111" s="29"/>
      <c r="F111" s="11"/>
      <c r="G111" s="11"/>
      <c r="H111" s="10"/>
      <c r="I111" s="10"/>
      <c r="J111" s="10"/>
      <c r="K111" s="10"/>
      <c r="L111" s="10"/>
      <c r="M111" s="10"/>
    </row>
    <row r="112" ht="15.75" customHeight="1">
      <c r="A112" s="10"/>
      <c r="B112" s="10"/>
      <c r="C112" s="10"/>
      <c r="D112" s="28"/>
      <c r="E112" s="29"/>
      <c r="F112" s="11"/>
      <c r="G112" s="11"/>
      <c r="H112" s="10"/>
      <c r="I112" s="10"/>
      <c r="J112" s="10"/>
      <c r="K112" s="10"/>
      <c r="L112" s="10"/>
      <c r="M112" s="10"/>
    </row>
    <row r="113" ht="15.75" customHeight="1">
      <c r="A113" s="10"/>
      <c r="B113" s="10"/>
      <c r="C113" s="10"/>
      <c r="D113" s="28"/>
      <c r="E113" s="29"/>
      <c r="F113" s="11"/>
      <c r="G113" s="11"/>
      <c r="H113" s="10"/>
      <c r="I113" s="10"/>
      <c r="J113" s="10"/>
      <c r="K113" s="10"/>
      <c r="L113" s="10"/>
      <c r="M113" s="10"/>
    </row>
    <row r="114" ht="15.75" customHeight="1">
      <c r="A114" s="10"/>
      <c r="B114" s="10"/>
      <c r="C114" s="10"/>
      <c r="D114" s="28"/>
      <c r="E114" s="29"/>
      <c r="F114" s="11"/>
      <c r="G114" s="11"/>
      <c r="H114" s="10"/>
      <c r="I114" s="10"/>
      <c r="J114" s="10"/>
      <c r="K114" s="10"/>
      <c r="L114" s="10"/>
      <c r="M114" s="10"/>
    </row>
    <row r="115" ht="15.75" customHeight="1">
      <c r="A115" s="10"/>
      <c r="B115" s="10"/>
      <c r="C115" s="10"/>
      <c r="D115" s="28"/>
      <c r="E115" s="29"/>
      <c r="F115" s="11"/>
      <c r="G115" s="11"/>
      <c r="H115" s="10"/>
      <c r="I115" s="10"/>
      <c r="J115" s="10"/>
      <c r="K115" s="10"/>
      <c r="L115" s="10"/>
      <c r="M115" s="10"/>
    </row>
    <row r="116" ht="15.75" customHeight="1">
      <c r="A116" s="10"/>
      <c r="B116" s="10"/>
      <c r="C116" s="10"/>
      <c r="D116" s="28"/>
      <c r="E116" s="29"/>
      <c r="F116" s="11"/>
      <c r="G116" s="11"/>
      <c r="H116" s="10"/>
      <c r="I116" s="10"/>
      <c r="J116" s="10"/>
      <c r="K116" s="10"/>
      <c r="L116" s="10"/>
      <c r="M116" s="10"/>
    </row>
    <row r="117" ht="15.75" customHeight="1">
      <c r="A117" s="10"/>
      <c r="B117" s="10"/>
      <c r="C117" s="10"/>
      <c r="D117" s="28"/>
      <c r="E117" s="29"/>
      <c r="F117" s="11"/>
      <c r="G117" s="11"/>
      <c r="H117" s="10"/>
      <c r="I117" s="10"/>
      <c r="J117" s="10"/>
      <c r="K117" s="10"/>
      <c r="L117" s="10"/>
      <c r="M117" s="10"/>
    </row>
    <row r="118" ht="15.75" customHeight="1">
      <c r="A118" s="10"/>
      <c r="B118" s="10"/>
      <c r="C118" s="10"/>
      <c r="D118" s="28"/>
      <c r="E118" s="29"/>
      <c r="F118" s="11"/>
      <c r="G118" s="11"/>
      <c r="H118" s="10"/>
      <c r="I118" s="10"/>
      <c r="J118" s="10"/>
      <c r="K118" s="10"/>
      <c r="L118" s="10"/>
      <c r="M118" s="10"/>
    </row>
    <row r="119" ht="15.75" customHeight="1">
      <c r="A119" s="10"/>
      <c r="B119" s="10"/>
      <c r="C119" s="10"/>
      <c r="D119" s="28"/>
      <c r="E119" s="29"/>
      <c r="F119" s="11"/>
      <c r="G119" s="11"/>
      <c r="H119" s="10"/>
      <c r="I119" s="10"/>
      <c r="J119" s="10"/>
      <c r="K119" s="10"/>
      <c r="L119" s="10"/>
      <c r="M119" s="10"/>
    </row>
    <row r="120" ht="15.75" customHeight="1">
      <c r="A120" s="10"/>
      <c r="B120" s="10"/>
      <c r="C120" s="10"/>
      <c r="D120" s="28"/>
      <c r="E120" s="29"/>
      <c r="F120" s="11"/>
      <c r="G120" s="11"/>
      <c r="H120" s="10"/>
      <c r="I120" s="10"/>
      <c r="J120" s="10"/>
      <c r="K120" s="10"/>
      <c r="L120" s="10"/>
      <c r="M120" s="10"/>
    </row>
    <row r="121" ht="15.75" customHeight="1">
      <c r="A121" s="10"/>
      <c r="B121" s="10"/>
      <c r="C121" s="10"/>
      <c r="D121" s="28"/>
      <c r="E121" s="29"/>
      <c r="F121" s="11"/>
      <c r="G121" s="11"/>
      <c r="H121" s="10"/>
      <c r="I121" s="10"/>
      <c r="J121" s="10"/>
      <c r="K121" s="10"/>
      <c r="L121" s="10"/>
      <c r="M121" s="10"/>
    </row>
    <row r="122" ht="15.75" customHeight="1">
      <c r="A122" s="10"/>
      <c r="B122" s="10"/>
      <c r="C122" s="10"/>
      <c r="D122" s="28"/>
      <c r="E122" s="29"/>
      <c r="F122" s="11"/>
      <c r="G122" s="11"/>
      <c r="H122" s="10"/>
      <c r="I122" s="10"/>
      <c r="J122" s="10"/>
      <c r="K122" s="10"/>
      <c r="L122" s="10"/>
      <c r="M122" s="10"/>
    </row>
    <row r="123" ht="15.75" customHeight="1">
      <c r="A123" s="10"/>
      <c r="B123" s="10"/>
      <c r="C123" s="10"/>
      <c r="D123" s="28"/>
      <c r="E123" s="29"/>
      <c r="F123" s="11"/>
      <c r="G123" s="11"/>
      <c r="H123" s="10"/>
      <c r="I123" s="10"/>
      <c r="J123" s="10"/>
      <c r="K123" s="10"/>
      <c r="L123" s="10"/>
      <c r="M123" s="10"/>
    </row>
    <row r="124" ht="15.75" customHeight="1">
      <c r="A124" s="10"/>
      <c r="B124" s="10"/>
      <c r="C124" s="10"/>
      <c r="D124" s="28"/>
      <c r="E124" s="29"/>
      <c r="F124" s="11"/>
      <c r="G124" s="11"/>
      <c r="H124" s="10"/>
      <c r="I124" s="10"/>
      <c r="J124" s="10"/>
      <c r="K124" s="10"/>
      <c r="L124" s="10"/>
      <c r="M124" s="10"/>
    </row>
    <row r="125" ht="15.75" customHeight="1">
      <c r="A125" s="10"/>
      <c r="B125" s="10"/>
      <c r="C125" s="10"/>
      <c r="D125" s="28"/>
      <c r="E125" s="29"/>
      <c r="F125" s="11"/>
      <c r="G125" s="11"/>
      <c r="H125" s="10"/>
      <c r="I125" s="10"/>
      <c r="J125" s="10"/>
      <c r="K125" s="10"/>
      <c r="L125" s="10"/>
      <c r="M125" s="10"/>
    </row>
    <row r="126" ht="15.75" customHeight="1">
      <c r="A126" s="10"/>
      <c r="B126" s="10"/>
      <c r="C126" s="10"/>
      <c r="D126" s="28"/>
      <c r="E126" s="29"/>
      <c r="F126" s="11"/>
      <c r="G126" s="11"/>
      <c r="H126" s="10"/>
      <c r="I126" s="10"/>
      <c r="J126" s="10"/>
      <c r="K126" s="10"/>
      <c r="L126" s="10"/>
      <c r="M126" s="10"/>
    </row>
    <row r="127" ht="15.75" customHeight="1">
      <c r="A127" s="10"/>
      <c r="B127" s="10"/>
      <c r="C127" s="10"/>
      <c r="D127" s="28"/>
      <c r="E127" s="29"/>
      <c r="F127" s="11"/>
      <c r="G127" s="11"/>
      <c r="H127" s="10"/>
      <c r="I127" s="10"/>
      <c r="J127" s="10"/>
      <c r="K127" s="10"/>
      <c r="L127" s="10"/>
      <c r="M127" s="10"/>
    </row>
    <row r="128" ht="15.75" customHeight="1">
      <c r="A128" s="10"/>
      <c r="B128" s="10"/>
      <c r="C128" s="10"/>
      <c r="D128" s="28"/>
      <c r="E128" s="29"/>
      <c r="F128" s="11"/>
      <c r="G128" s="11"/>
      <c r="H128" s="10"/>
      <c r="I128" s="10"/>
      <c r="J128" s="10"/>
      <c r="K128" s="10"/>
      <c r="L128" s="10"/>
      <c r="M128" s="10"/>
    </row>
    <row r="129" ht="15.75" customHeight="1">
      <c r="A129" s="10"/>
      <c r="B129" s="10"/>
      <c r="C129" s="10"/>
      <c r="D129" s="28"/>
      <c r="E129" s="29"/>
      <c r="F129" s="11"/>
      <c r="G129" s="11"/>
      <c r="H129" s="10"/>
      <c r="I129" s="10"/>
      <c r="J129" s="10"/>
      <c r="K129" s="10"/>
      <c r="L129" s="10"/>
      <c r="M129" s="10"/>
    </row>
    <row r="130" ht="15.75" customHeight="1">
      <c r="A130" s="10"/>
      <c r="B130" s="10"/>
      <c r="C130" s="10"/>
      <c r="D130" s="28"/>
      <c r="E130" s="29"/>
      <c r="F130" s="11"/>
      <c r="G130" s="11"/>
      <c r="H130" s="10"/>
      <c r="I130" s="10"/>
      <c r="J130" s="10"/>
      <c r="K130" s="10"/>
      <c r="L130" s="10"/>
      <c r="M130" s="10"/>
    </row>
    <row r="131" ht="15.75" customHeight="1">
      <c r="A131" s="10"/>
      <c r="B131" s="10"/>
      <c r="C131" s="10"/>
      <c r="D131" s="28"/>
      <c r="E131" s="29"/>
      <c r="F131" s="11"/>
      <c r="G131" s="11"/>
      <c r="H131" s="10"/>
      <c r="I131" s="10"/>
      <c r="J131" s="10"/>
      <c r="K131" s="10"/>
      <c r="L131" s="10"/>
      <c r="M131" s="10"/>
    </row>
    <row r="132" ht="15.75" customHeight="1">
      <c r="A132" s="10"/>
      <c r="B132" s="10"/>
      <c r="C132" s="10"/>
      <c r="D132" s="28"/>
      <c r="E132" s="29"/>
      <c r="F132" s="11"/>
      <c r="G132" s="11"/>
      <c r="H132" s="10"/>
      <c r="I132" s="10"/>
      <c r="J132" s="10"/>
      <c r="K132" s="10"/>
      <c r="L132" s="10"/>
      <c r="M132" s="10"/>
    </row>
    <row r="133" ht="15.75" customHeight="1">
      <c r="A133" s="10"/>
      <c r="B133" s="10"/>
      <c r="C133" s="10"/>
      <c r="D133" s="28"/>
      <c r="E133" s="29"/>
      <c r="F133" s="11"/>
      <c r="G133" s="11"/>
      <c r="H133" s="10"/>
      <c r="I133" s="10"/>
      <c r="J133" s="10"/>
      <c r="K133" s="10"/>
      <c r="L133" s="10"/>
      <c r="M133" s="10"/>
    </row>
    <row r="134" ht="15.75" customHeight="1">
      <c r="A134" s="10"/>
      <c r="B134" s="10"/>
      <c r="C134" s="10"/>
      <c r="D134" s="28"/>
      <c r="E134" s="29"/>
      <c r="F134" s="11"/>
      <c r="G134" s="11"/>
      <c r="H134" s="10"/>
      <c r="I134" s="10"/>
      <c r="J134" s="10"/>
      <c r="K134" s="10"/>
      <c r="L134" s="10"/>
      <c r="M134" s="10"/>
    </row>
    <row r="135" ht="15.75" customHeight="1">
      <c r="A135" s="10"/>
      <c r="B135" s="10"/>
      <c r="C135" s="10"/>
      <c r="D135" s="28"/>
      <c r="E135" s="29"/>
      <c r="F135" s="11"/>
      <c r="G135" s="11"/>
      <c r="H135" s="10"/>
      <c r="I135" s="10"/>
      <c r="J135" s="10"/>
      <c r="K135" s="10"/>
      <c r="L135" s="10"/>
      <c r="M135" s="10"/>
    </row>
    <row r="136" ht="15.75" customHeight="1">
      <c r="A136" s="10"/>
      <c r="B136" s="10"/>
      <c r="C136" s="10"/>
      <c r="D136" s="28"/>
      <c r="E136" s="29"/>
      <c r="F136" s="11"/>
      <c r="G136" s="11"/>
      <c r="H136" s="10"/>
      <c r="I136" s="10"/>
      <c r="J136" s="10"/>
      <c r="K136" s="10"/>
      <c r="L136" s="10"/>
      <c r="M136" s="10"/>
    </row>
    <row r="137" ht="15.75" customHeight="1">
      <c r="A137" s="10"/>
      <c r="B137" s="10"/>
      <c r="C137" s="10"/>
      <c r="D137" s="28"/>
      <c r="E137" s="29"/>
      <c r="F137" s="11"/>
      <c r="G137" s="11"/>
      <c r="H137" s="10"/>
      <c r="I137" s="10"/>
      <c r="J137" s="10"/>
      <c r="K137" s="10"/>
      <c r="L137" s="10"/>
      <c r="M137" s="10"/>
    </row>
    <row r="138" ht="15.75" customHeight="1">
      <c r="A138" s="10"/>
      <c r="B138" s="10"/>
      <c r="C138" s="10"/>
      <c r="D138" s="28"/>
      <c r="E138" s="29"/>
      <c r="F138" s="11"/>
      <c r="G138" s="11"/>
      <c r="H138" s="10"/>
      <c r="I138" s="10"/>
      <c r="J138" s="10"/>
      <c r="K138" s="10"/>
      <c r="L138" s="10"/>
      <c r="M138" s="10"/>
    </row>
    <row r="139" ht="15.75" customHeight="1">
      <c r="A139" s="10"/>
      <c r="B139" s="10"/>
      <c r="C139" s="10"/>
      <c r="D139" s="28"/>
      <c r="E139" s="29"/>
      <c r="F139" s="11"/>
      <c r="G139" s="11"/>
      <c r="H139" s="10"/>
      <c r="I139" s="10"/>
      <c r="J139" s="10"/>
      <c r="K139" s="10"/>
      <c r="L139" s="10"/>
      <c r="M139" s="10"/>
    </row>
    <row r="140" ht="15.75" customHeight="1">
      <c r="A140" s="10"/>
      <c r="B140" s="10"/>
      <c r="C140" s="10"/>
      <c r="D140" s="28"/>
      <c r="E140" s="29"/>
      <c r="F140" s="11"/>
      <c r="G140" s="11"/>
      <c r="H140" s="10"/>
      <c r="I140" s="10"/>
      <c r="J140" s="10"/>
      <c r="K140" s="10"/>
      <c r="L140" s="10"/>
      <c r="M140" s="10"/>
    </row>
    <row r="141" ht="15.75" customHeight="1">
      <c r="A141" s="10"/>
      <c r="B141" s="10"/>
      <c r="C141" s="10"/>
      <c r="D141" s="28"/>
      <c r="E141" s="29"/>
      <c r="F141" s="11"/>
      <c r="G141" s="11"/>
      <c r="H141" s="10"/>
      <c r="I141" s="10"/>
      <c r="J141" s="10"/>
      <c r="K141" s="10"/>
      <c r="L141" s="10"/>
      <c r="M141" s="10"/>
    </row>
    <row r="142" ht="15.75" customHeight="1">
      <c r="A142" s="10"/>
      <c r="B142" s="10"/>
      <c r="C142" s="10"/>
      <c r="D142" s="28"/>
      <c r="E142" s="29"/>
      <c r="F142" s="11"/>
      <c r="G142" s="11"/>
      <c r="H142" s="10"/>
      <c r="I142" s="10"/>
      <c r="J142" s="10"/>
      <c r="K142" s="10"/>
      <c r="L142" s="10"/>
      <c r="M142" s="10"/>
    </row>
    <row r="143" ht="15.75" customHeight="1">
      <c r="A143" s="10"/>
      <c r="B143" s="10"/>
      <c r="C143" s="10"/>
      <c r="D143" s="28"/>
      <c r="E143" s="29"/>
      <c r="F143" s="11"/>
      <c r="G143" s="11"/>
      <c r="H143" s="10"/>
      <c r="I143" s="10"/>
      <c r="J143" s="10"/>
      <c r="K143" s="10"/>
      <c r="L143" s="10"/>
      <c r="M143" s="10"/>
    </row>
    <row r="144" ht="15.75" customHeight="1">
      <c r="A144" s="10"/>
      <c r="B144" s="10"/>
      <c r="C144" s="10"/>
      <c r="D144" s="28"/>
      <c r="E144" s="29"/>
      <c r="F144" s="11"/>
      <c r="G144" s="11"/>
      <c r="H144" s="10"/>
      <c r="I144" s="10"/>
      <c r="J144" s="10"/>
      <c r="K144" s="10"/>
      <c r="L144" s="10"/>
      <c r="M144" s="10"/>
    </row>
    <row r="145" ht="15.75" customHeight="1">
      <c r="A145" s="10"/>
      <c r="B145" s="10"/>
      <c r="C145" s="10"/>
      <c r="D145" s="28"/>
      <c r="E145" s="29"/>
      <c r="F145" s="11"/>
      <c r="G145" s="11"/>
      <c r="H145" s="10"/>
      <c r="I145" s="10"/>
      <c r="J145" s="10"/>
      <c r="K145" s="10"/>
      <c r="L145" s="10"/>
      <c r="M145" s="10"/>
    </row>
    <row r="146" ht="15.75" customHeight="1">
      <c r="A146" s="10"/>
      <c r="B146" s="10"/>
      <c r="C146" s="10"/>
      <c r="D146" s="28"/>
      <c r="E146" s="29"/>
      <c r="F146" s="11"/>
      <c r="G146" s="11"/>
      <c r="H146" s="10"/>
      <c r="I146" s="10"/>
      <c r="J146" s="10"/>
      <c r="K146" s="10"/>
      <c r="L146" s="10"/>
      <c r="M146" s="10"/>
    </row>
    <row r="147" ht="15.75" customHeight="1">
      <c r="A147" s="10"/>
      <c r="B147" s="10"/>
      <c r="C147" s="10"/>
      <c r="D147" s="28"/>
      <c r="E147" s="29"/>
      <c r="F147" s="11"/>
      <c r="G147" s="11"/>
      <c r="H147" s="10"/>
      <c r="I147" s="10"/>
      <c r="J147" s="10"/>
      <c r="K147" s="10"/>
      <c r="L147" s="10"/>
      <c r="M147" s="10"/>
    </row>
    <row r="148" ht="15.75" customHeight="1">
      <c r="A148" s="10"/>
      <c r="B148" s="10"/>
      <c r="C148" s="10"/>
      <c r="D148" s="28"/>
      <c r="E148" s="29"/>
      <c r="F148" s="11"/>
      <c r="G148" s="11"/>
      <c r="H148" s="10"/>
      <c r="I148" s="10"/>
      <c r="J148" s="10"/>
      <c r="K148" s="10"/>
      <c r="L148" s="10"/>
      <c r="M148" s="10"/>
    </row>
    <row r="149" ht="15.75" customHeight="1">
      <c r="A149" s="10"/>
      <c r="B149" s="10"/>
      <c r="C149" s="10"/>
      <c r="D149" s="28"/>
      <c r="E149" s="29"/>
      <c r="F149" s="11"/>
      <c r="G149" s="11"/>
      <c r="H149" s="10"/>
      <c r="I149" s="10"/>
      <c r="J149" s="10"/>
      <c r="K149" s="10"/>
      <c r="L149" s="10"/>
      <c r="M149" s="10"/>
    </row>
    <row r="150" ht="15.75" customHeight="1">
      <c r="A150" s="10"/>
      <c r="B150" s="10"/>
      <c r="C150" s="10"/>
      <c r="D150" s="28"/>
      <c r="E150" s="29"/>
      <c r="F150" s="11"/>
      <c r="G150" s="11"/>
      <c r="H150" s="10"/>
      <c r="I150" s="10"/>
      <c r="J150" s="10"/>
      <c r="K150" s="10"/>
      <c r="L150" s="10"/>
      <c r="M150" s="10"/>
    </row>
    <row r="151" ht="15.75" customHeight="1">
      <c r="A151" s="10"/>
      <c r="B151" s="10"/>
      <c r="C151" s="10"/>
      <c r="D151" s="28"/>
      <c r="E151" s="29"/>
      <c r="F151" s="11"/>
      <c r="G151" s="11"/>
      <c r="H151" s="10"/>
      <c r="I151" s="10"/>
      <c r="J151" s="10"/>
      <c r="K151" s="10"/>
      <c r="L151" s="10"/>
      <c r="M151" s="10"/>
    </row>
    <row r="152" ht="15.75" customHeight="1">
      <c r="A152" s="10"/>
      <c r="B152" s="10"/>
      <c r="C152" s="10"/>
      <c r="D152" s="28"/>
      <c r="E152" s="29"/>
      <c r="F152" s="11"/>
      <c r="G152" s="11"/>
      <c r="H152" s="10"/>
      <c r="I152" s="10"/>
      <c r="J152" s="10"/>
      <c r="K152" s="10"/>
      <c r="L152" s="10"/>
      <c r="M152" s="10"/>
    </row>
    <row r="153" ht="15.75" customHeight="1">
      <c r="A153" s="10"/>
      <c r="B153" s="10"/>
      <c r="C153" s="10"/>
      <c r="D153" s="28"/>
      <c r="E153" s="29"/>
      <c r="F153" s="11"/>
      <c r="G153" s="11"/>
      <c r="H153" s="10"/>
      <c r="I153" s="10"/>
      <c r="J153" s="10"/>
      <c r="K153" s="10"/>
      <c r="L153" s="10"/>
      <c r="M153" s="10"/>
    </row>
    <row r="154" ht="15.75" customHeight="1">
      <c r="A154" s="10"/>
      <c r="B154" s="10"/>
      <c r="C154" s="10"/>
      <c r="D154" s="28"/>
      <c r="E154" s="29"/>
      <c r="F154" s="11"/>
      <c r="G154" s="11"/>
      <c r="H154" s="10"/>
      <c r="I154" s="10"/>
      <c r="J154" s="10"/>
      <c r="K154" s="10"/>
      <c r="L154" s="10"/>
      <c r="M154" s="10"/>
    </row>
    <row r="155" ht="15.75" customHeight="1">
      <c r="A155" s="10"/>
      <c r="B155" s="10"/>
      <c r="C155" s="10"/>
      <c r="D155" s="28"/>
      <c r="E155" s="29"/>
      <c r="F155" s="11"/>
      <c r="G155" s="11"/>
      <c r="H155" s="10"/>
      <c r="I155" s="10"/>
      <c r="J155" s="10"/>
      <c r="K155" s="10"/>
      <c r="L155" s="10"/>
      <c r="M155" s="10"/>
    </row>
    <row r="156" ht="15.75" customHeight="1">
      <c r="A156" s="10"/>
      <c r="B156" s="10"/>
      <c r="C156" s="10"/>
      <c r="D156" s="28"/>
      <c r="E156" s="29"/>
      <c r="F156" s="11"/>
      <c r="G156" s="11"/>
      <c r="H156" s="10"/>
      <c r="I156" s="10"/>
      <c r="J156" s="10"/>
      <c r="K156" s="10"/>
      <c r="L156" s="10"/>
      <c r="M156" s="10"/>
    </row>
    <row r="157" ht="15.75" customHeight="1">
      <c r="A157" s="10"/>
      <c r="B157" s="10"/>
      <c r="C157" s="10"/>
      <c r="D157" s="28"/>
      <c r="E157" s="29"/>
      <c r="F157" s="11"/>
      <c r="G157" s="11"/>
      <c r="H157" s="10"/>
      <c r="I157" s="10"/>
      <c r="J157" s="10"/>
      <c r="K157" s="10"/>
      <c r="L157" s="10"/>
      <c r="M157" s="10"/>
    </row>
    <row r="158" ht="15.75" customHeight="1">
      <c r="A158" s="10"/>
      <c r="B158" s="10"/>
      <c r="C158" s="10"/>
      <c r="D158" s="28"/>
      <c r="E158" s="29"/>
      <c r="F158" s="11"/>
      <c r="G158" s="11"/>
      <c r="H158" s="10"/>
      <c r="I158" s="10"/>
      <c r="J158" s="10"/>
      <c r="K158" s="10"/>
      <c r="L158" s="10"/>
      <c r="M158" s="10"/>
    </row>
    <row r="159" ht="15.75" customHeight="1">
      <c r="A159" s="10"/>
      <c r="B159" s="10"/>
      <c r="C159" s="10"/>
      <c r="D159" s="28"/>
      <c r="E159" s="29"/>
      <c r="F159" s="11"/>
      <c r="G159" s="11"/>
      <c r="H159" s="10"/>
      <c r="I159" s="10"/>
      <c r="J159" s="10"/>
      <c r="K159" s="10"/>
      <c r="L159" s="10"/>
      <c r="M159" s="10"/>
    </row>
    <row r="160" ht="15.75" customHeight="1">
      <c r="A160" s="10"/>
      <c r="B160" s="10"/>
      <c r="C160" s="10"/>
      <c r="D160" s="28"/>
      <c r="E160" s="29"/>
      <c r="F160" s="11"/>
      <c r="G160" s="11"/>
      <c r="H160" s="10"/>
      <c r="I160" s="10"/>
      <c r="J160" s="10"/>
      <c r="K160" s="10"/>
      <c r="L160" s="10"/>
      <c r="M160" s="10"/>
    </row>
    <row r="161" ht="15.75" customHeight="1">
      <c r="A161" s="10"/>
      <c r="B161" s="10"/>
      <c r="C161" s="10"/>
      <c r="D161" s="28"/>
      <c r="E161" s="29"/>
      <c r="F161" s="11"/>
      <c r="G161" s="11"/>
      <c r="H161" s="10"/>
      <c r="I161" s="10"/>
      <c r="J161" s="10"/>
      <c r="K161" s="10"/>
      <c r="L161" s="10"/>
      <c r="M161" s="10"/>
    </row>
    <row r="162" ht="15.75" customHeight="1">
      <c r="A162" s="10"/>
      <c r="B162" s="10"/>
      <c r="C162" s="10"/>
      <c r="D162" s="28"/>
      <c r="E162" s="29"/>
      <c r="F162" s="11"/>
      <c r="G162" s="11"/>
      <c r="H162" s="10"/>
      <c r="I162" s="10"/>
      <c r="J162" s="10"/>
      <c r="K162" s="10"/>
      <c r="L162" s="10"/>
      <c r="M162" s="10"/>
    </row>
    <row r="163" ht="15.75" customHeight="1">
      <c r="A163" s="10"/>
      <c r="B163" s="10"/>
      <c r="C163" s="10"/>
      <c r="D163" s="28"/>
      <c r="E163" s="29"/>
      <c r="F163" s="11"/>
      <c r="G163" s="11"/>
      <c r="H163" s="10"/>
      <c r="I163" s="10"/>
      <c r="J163" s="10"/>
      <c r="K163" s="10"/>
      <c r="L163" s="10"/>
      <c r="M163" s="10"/>
    </row>
    <row r="164" ht="15.75" customHeight="1">
      <c r="A164" s="10"/>
      <c r="B164" s="10"/>
      <c r="C164" s="10"/>
      <c r="D164" s="28"/>
      <c r="E164" s="29"/>
      <c r="F164" s="11"/>
      <c r="G164" s="11"/>
      <c r="H164" s="10"/>
      <c r="I164" s="10"/>
      <c r="J164" s="10"/>
      <c r="K164" s="10"/>
      <c r="L164" s="10"/>
      <c r="M164" s="10"/>
    </row>
    <row r="165" ht="15.75" customHeight="1">
      <c r="A165" s="10"/>
      <c r="B165" s="10"/>
      <c r="C165" s="10"/>
      <c r="D165" s="28"/>
      <c r="E165" s="29"/>
      <c r="F165" s="11"/>
      <c r="G165" s="11"/>
      <c r="H165" s="10"/>
      <c r="I165" s="10"/>
      <c r="J165" s="10"/>
      <c r="K165" s="10"/>
      <c r="L165" s="10"/>
      <c r="M165" s="10"/>
    </row>
    <row r="166" ht="15.75" customHeight="1">
      <c r="A166" s="10"/>
      <c r="B166" s="10"/>
      <c r="C166" s="10"/>
      <c r="D166" s="28"/>
      <c r="E166" s="29"/>
      <c r="F166" s="11"/>
      <c r="G166" s="11"/>
      <c r="H166" s="10"/>
      <c r="I166" s="10"/>
      <c r="J166" s="10"/>
      <c r="K166" s="10"/>
      <c r="L166" s="10"/>
      <c r="M166" s="10"/>
    </row>
    <row r="167" ht="15.75" customHeight="1">
      <c r="A167" s="10"/>
      <c r="B167" s="10"/>
      <c r="C167" s="10"/>
      <c r="D167" s="28"/>
      <c r="E167" s="29"/>
      <c r="F167" s="11"/>
      <c r="G167" s="11"/>
      <c r="H167" s="10"/>
      <c r="I167" s="10"/>
      <c r="J167" s="10"/>
      <c r="K167" s="10"/>
      <c r="L167" s="10"/>
      <c r="M167" s="10"/>
    </row>
    <row r="168" ht="15.75" customHeight="1">
      <c r="A168" s="10"/>
      <c r="B168" s="10"/>
      <c r="C168" s="10"/>
      <c r="D168" s="28"/>
      <c r="E168" s="29"/>
      <c r="F168" s="11"/>
      <c r="G168" s="11"/>
      <c r="H168" s="10"/>
      <c r="I168" s="10"/>
      <c r="J168" s="10"/>
      <c r="K168" s="10"/>
      <c r="L168" s="10"/>
      <c r="M168" s="10"/>
    </row>
    <row r="169" ht="15.75" customHeight="1">
      <c r="A169" s="10"/>
      <c r="B169" s="10"/>
      <c r="C169" s="10"/>
      <c r="D169" s="28"/>
      <c r="E169" s="29"/>
      <c r="F169" s="11"/>
      <c r="G169" s="11"/>
      <c r="H169" s="10"/>
      <c r="I169" s="10"/>
      <c r="J169" s="10"/>
      <c r="K169" s="10"/>
      <c r="L169" s="10"/>
      <c r="M169" s="10"/>
    </row>
    <row r="170" ht="15.75" customHeight="1">
      <c r="A170" s="10"/>
      <c r="B170" s="10"/>
      <c r="C170" s="10"/>
      <c r="D170" s="28"/>
      <c r="E170" s="29"/>
      <c r="F170" s="11"/>
      <c r="G170" s="11"/>
      <c r="H170" s="10"/>
      <c r="I170" s="10"/>
      <c r="J170" s="10"/>
      <c r="K170" s="10"/>
      <c r="L170" s="10"/>
      <c r="M170" s="10"/>
    </row>
    <row r="171" ht="15.75" customHeight="1">
      <c r="A171" s="10"/>
      <c r="B171" s="10"/>
      <c r="C171" s="10"/>
      <c r="D171" s="28"/>
      <c r="E171" s="29"/>
      <c r="F171" s="11"/>
      <c r="G171" s="11"/>
      <c r="H171" s="10"/>
      <c r="I171" s="10"/>
      <c r="J171" s="10"/>
      <c r="K171" s="10"/>
      <c r="L171" s="10"/>
      <c r="M171" s="10"/>
    </row>
    <row r="172" ht="15.75" customHeight="1">
      <c r="A172" s="10"/>
      <c r="B172" s="10"/>
      <c r="C172" s="10"/>
      <c r="D172" s="28"/>
      <c r="E172" s="29"/>
      <c r="F172" s="11"/>
      <c r="G172" s="11"/>
      <c r="H172" s="10"/>
      <c r="I172" s="10"/>
      <c r="J172" s="10"/>
      <c r="K172" s="10"/>
      <c r="L172" s="10"/>
      <c r="M172" s="10"/>
    </row>
    <row r="173" ht="15.75" customHeight="1">
      <c r="A173" s="10"/>
      <c r="B173" s="10"/>
      <c r="C173" s="10"/>
      <c r="D173" s="28"/>
      <c r="E173" s="29"/>
      <c r="F173" s="11"/>
      <c r="G173" s="11"/>
      <c r="H173" s="10"/>
      <c r="I173" s="10"/>
      <c r="J173" s="10"/>
      <c r="K173" s="10"/>
      <c r="L173" s="10"/>
      <c r="M173" s="10"/>
    </row>
    <row r="174" ht="15.75" customHeight="1">
      <c r="A174" s="10"/>
      <c r="B174" s="10"/>
      <c r="C174" s="10"/>
      <c r="D174" s="28"/>
      <c r="E174" s="29"/>
      <c r="F174" s="11"/>
      <c r="G174" s="11"/>
      <c r="H174" s="10"/>
      <c r="I174" s="10"/>
      <c r="J174" s="10"/>
      <c r="K174" s="10"/>
      <c r="L174" s="10"/>
      <c r="M174" s="10"/>
    </row>
    <row r="175" ht="15.75" customHeight="1">
      <c r="A175" s="10"/>
      <c r="B175" s="10"/>
      <c r="C175" s="10"/>
      <c r="D175" s="28"/>
      <c r="E175" s="29"/>
      <c r="F175" s="11"/>
      <c r="G175" s="11"/>
      <c r="H175" s="10"/>
      <c r="I175" s="10"/>
      <c r="J175" s="10"/>
      <c r="K175" s="10"/>
      <c r="L175" s="10"/>
      <c r="M175" s="10"/>
    </row>
    <row r="176" ht="15.75" customHeight="1">
      <c r="A176" s="10"/>
      <c r="B176" s="10"/>
      <c r="C176" s="10"/>
      <c r="D176" s="28"/>
      <c r="E176" s="29"/>
      <c r="F176" s="11"/>
      <c r="G176" s="11"/>
      <c r="H176" s="10"/>
      <c r="I176" s="10"/>
      <c r="J176" s="10"/>
      <c r="K176" s="10"/>
      <c r="L176" s="10"/>
      <c r="M176" s="10"/>
    </row>
    <row r="177" ht="15.75" customHeight="1">
      <c r="A177" s="10"/>
      <c r="B177" s="10"/>
      <c r="C177" s="10"/>
      <c r="D177" s="28"/>
      <c r="E177" s="29"/>
      <c r="F177" s="11"/>
      <c r="G177" s="11"/>
      <c r="H177" s="10"/>
      <c r="I177" s="10"/>
      <c r="J177" s="10"/>
      <c r="K177" s="10"/>
      <c r="L177" s="10"/>
      <c r="M177" s="10"/>
    </row>
    <row r="178" ht="15.75" customHeight="1">
      <c r="A178" s="10"/>
      <c r="B178" s="10"/>
      <c r="C178" s="10"/>
      <c r="D178" s="28"/>
      <c r="E178" s="29"/>
      <c r="F178" s="11"/>
      <c r="G178" s="11"/>
      <c r="H178" s="10"/>
      <c r="I178" s="10"/>
      <c r="J178" s="10"/>
      <c r="K178" s="10"/>
      <c r="L178" s="10"/>
      <c r="M178" s="10"/>
    </row>
    <row r="179" ht="15.75" customHeight="1">
      <c r="A179" s="10"/>
      <c r="B179" s="10"/>
      <c r="C179" s="10"/>
      <c r="D179" s="28"/>
      <c r="E179" s="29"/>
      <c r="F179" s="11"/>
      <c r="G179" s="11"/>
      <c r="H179" s="10"/>
      <c r="I179" s="10"/>
      <c r="J179" s="10"/>
      <c r="K179" s="10"/>
      <c r="L179" s="10"/>
      <c r="M179" s="10"/>
    </row>
    <row r="180" ht="15.75" customHeight="1">
      <c r="A180" s="10"/>
      <c r="B180" s="10"/>
      <c r="C180" s="10"/>
      <c r="D180" s="28"/>
      <c r="E180" s="29"/>
      <c r="F180" s="11"/>
      <c r="G180" s="11"/>
      <c r="H180" s="10"/>
      <c r="I180" s="10"/>
      <c r="J180" s="10"/>
      <c r="K180" s="10"/>
      <c r="L180" s="10"/>
      <c r="M180" s="10"/>
    </row>
    <row r="181" ht="15.75" customHeight="1">
      <c r="A181" s="10"/>
      <c r="B181" s="10"/>
      <c r="C181" s="10"/>
      <c r="D181" s="28"/>
      <c r="E181" s="29"/>
      <c r="F181" s="11"/>
      <c r="G181" s="11"/>
      <c r="H181" s="10"/>
      <c r="I181" s="10"/>
      <c r="J181" s="10"/>
      <c r="K181" s="10"/>
      <c r="L181" s="10"/>
      <c r="M181" s="10"/>
    </row>
    <row r="182" ht="15.75" customHeight="1">
      <c r="A182" s="10"/>
      <c r="B182" s="10"/>
      <c r="C182" s="10"/>
      <c r="D182" s="28"/>
      <c r="E182" s="29"/>
      <c r="F182" s="11"/>
      <c r="G182" s="11"/>
      <c r="H182" s="10"/>
      <c r="I182" s="10"/>
      <c r="J182" s="10"/>
      <c r="K182" s="10"/>
      <c r="L182" s="10"/>
      <c r="M182" s="10"/>
    </row>
    <row r="183" ht="15.75" customHeight="1">
      <c r="A183" s="10"/>
      <c r="B183" s="10"/>
      <c r="C183" s="10"/>
      <c r="D183" s="28"/>
      <c r="E183" s="29"/>
      <c r="F183" s="11"/>
      <c r="G183" s="11"/>
      <c r="H183" s="10"/>
      <c r="I183" s="10"/>
      <c r="J183" s="10"/>
      <c r="K183" s="10"/>
      <c r="L183" s="10"/>
      <c r="M183" s="10"/>
    </row>
    <row r="184" ht="15.75" customHeight="1">
      <c r="A184" s="10"/>
      <c r="B184" s="10"/>
      <c r="C184" s="10"/>
      <c r="D184" s="28"/>
      <c r="E184" s="29"/>
      <c r="F184" s="11"/>
      <c r="G184" s="11"/>
      <c r="H184" s="10"/>
      <c r="I184" s="10"/>
      <c r="J184" s="10"/>
      <c r="K184" s="10"/>
      <c r="L184" s="10"/>
      <c r="M184" s="10"/>
    </row>
    <row r="185" ht="15.75" customHeight="1">
      <c r="A185" s="10"/>
      <c r="B185" s="10"/>
      <c r="C185" s="10"/>
      <c r="D185" s="28"/>
      <c r="E185" s="29"/>
      <c r="F185" s="11"/>
      <c r="G185" s="11"/>
      <c r="H185" s="10"/>
      <c r="I185" s="10"/>
      <c r="J185" s="10"/>
      <c r="K185" s="10"/>
      <c r="L185" s="10"/>
      <c r="M185" s="10"/>
    </row>
    <row r="186" ht="15.75" customHeight="1">
      <c r="A186" s="10"/>
      <c r="B186" s="10"/>
      <c r="C186" s="10"/>
      <c r="D186" s="28"/>
      <c r="E186" s="29"/>
      <c r="F186" s="11"/>
      <c r="G186" s="11"/>
      <c r="H186" s="10"/>
      <c r="I186" s="10"/>
      <c r="J186" s="10"/>
      <c r="K186" s="10"/>
      <c r="L186" s="10"/>
      <c r="M186" s="10"/>
    </row>
    <row r="187" ht="15.75" customHeight="1">
      <c r="A187" s="10"/>
      <c r="B187" s="10"/>
      <c r="C187" s="10"/>
      <c r="D187" s="28"/>
      <c r="E187" s="29"/>
      <c r="F187" s="11"/>
      <c r="G187" s="11"/>
      <c r="H187" s="10"/>
      <c r="I187" s="10"/>
      <c r="J187" s="10"/>
      <c r="K187" s="10"/>
      <c r="L187" s="10"/>
      <c r="M187" s="10"/>
    </row>
    <row r="188" ht="15.75" customHeight="1">
      <c r="A188" s="10"/>
      <c r="B188" s="10"/>
      <c r="C188" s="10"/>
      <c r="D188" s="28"/>
      <c r="E188" s="29"/>
      <c r="F188" s="11"/>
      <c r="G188" s="11"/>
      <c r="H188" s="10"/>
      <c r="I188" s="10"/>
      <c r="J188" s="10"/>
      <c r="K188" s="10"/>
      <c r="L188" s="10"/>
      <c r="M188" s="10"/>
    </row>
    <row r="189" ht="15.75" customHeight="1">
      <c r="A189" s="10"/>
      <c r="B189" s="10"/>
      <c r="C189" s="10"/>
      <c r="D189" s="28"/>
      <c r="E189" s="29"/>
      <c r="F189" s="11"/>
      <c r="G189" s="11"/>
      <c r="H189" s="10"/>
      <c r="I189" s="10"/>
      <c r="J189" s="10"/>
      <c r="K189" s="10"/>
      <c r="L189" s="10"/>
      <c r="M189" s="10"/>
    </row>
    <row r="190" ht="15.75" customHeight="1">
      <c r="A190" s="10"/>
      <c r="B190" s="10"/>
      <c r="C190" s="10"/>
      <c r="D190" s="28"/>
      <c r="E190" s="29"/>
      <c r="F190" s="11"/>
      <c r="G190" s="11"/>
      <c r="H190" s="10"/>
      <c r="I190" s="10"/>
      <c r="J190" s="10"/>
      <c r="K190" s="10"/>
      <c r="L190" s="10"/>
      <c r="M190" s="10"/>
    </row>
    <row r="191" ht="15.75" customHeight="1">
      <c r="A191" s="10"/>
      <c r="B191" s="10"/>
      <c r="C191" s="10"/>
      <c r="D191" s="28"/>
      <c r="E191" s="29"/>
      <c r="F191" s="11"/>
      <c r="G191" s="11"/>
      <c r="H191" s="10"/>
      <c r="I191" s="10"/>
      <c r="J191" s="10"/>
      <c r="K191" s="10"/>
      <c r="L191" s="10"/>
      <c r="M191" s="10"/>
    </row>
    <row r="192" ht="15.75" customHeight="1">
      <c r="A192" s="10"/>
      <c r="B192" s="10"/>
      <c r="C192" s="10"/>
      <c r="D192" s="28"/>
      <c r="E192" s="29"/>
      <c r="F192" s="11"/>
      <c r="G192" s="11"/>
      <c r="H192" s="10"/>
      <c r="I192" s="10"/>
      <c r="J192" s="10"/>
      <c r="K192" s="10"/>
      <c r="L192" s="10"/>
      <c r="M192" s="10"/>
    </row>
    <row r="193" ht="15.75" customHeight="1">
      <c r="A193" s="10"/>
      <c r="B193" s="10"/>
      <c r="C193" s="10"/>
      <c r="D193" s="28"/>
      <c r="E193" s="29"/>
      <c r="F193" s="11"/>
      <c r="G193" s="11"/>
      <c r="H193" s="10"/>
      <c r="I193" s="10"/>
      <c r="J193" s="10"/>
      <c r="K193" s="10"/>
      <c r="L193" s="10"/>
      <c r="M193" s="10"/>
    </row>
    <row r="194" ht="15.75" customHeight="1">
      <c r="A194" s="10"/>
      <c r="B194" s="10"/>
      <c r="C194" s="10"/>
      <c r="D194" s="28"/>
      <c r="E194" s="29"/>
      <c r="F194" s="11"/>
      <c r="G194" s="11"/>
      <c r="H194" s="10"/>
      <c r="I194" s="10"/>
      <c r="J194" s="10"/>
      <c r="K194" s="10"/>
      <c r="L194" s="10"/>
      <c r="M194" s="10"/>
    </row>
    <row r="195" ht="15.75" customHeight="1">
      <c r="A195" s="10"/>
      <c r="B195" s="10"/>
      <c r="C195" s="10"/>
      <c r="D195" s="28"/>
      <c r="E195" s="29"/>
      <c r="F195" s="11"/>
      <c r="G195" s="11"/>
      <c r="H195" s="10"/>
      <c r="I195" s="10"/>
      <c r="J195" s="10"/>
      <c r="K195" s="10"/>
      <c r="L195" s="10"/>
      <c r="M195" s="10"/>
    </row>
    <row r="196" ht="15.75" customHeight="1">
      <c r="A196" s="10"/>
      <c r="B196" s="10"/>
      <c r="C196" s="10"/>
      <c r="D196" s="28"/>
      <c r="E196" s="29"/>
      <c r="F196" s="11"/>
      <c r="G196" s="11"/>
      <c r="H196" s="10"/>
      <c r="I196" s="10"/>
      <c r="J196" s="10"/>
      <c r="K196" s="10"/>
      <c r="L196" s="10"/>
      <c r="M196" s="10"/>
    </row>
    <row r="197" ht="15.75" customHeight="1">
      <c r="A197" s="10"/>
      <c r="B197" s="10"/>
      <c r="C197" s="10"/>
      <c r="D197" s="28"/>
      <c r="E197" s="29"/>
      <c r="F197" s="11"/>
      <c r="G197" s="11"/>
      <c r="H197" s="10"/>
      <c r="I197" s="10"/>
      <c r="J197" s="10"/>
      <c r="K197" s="10"/>
      <c r="L197" s="10"/>
      <c r="M197" s="10"/>
    </row>
    <row r="198" ht="15.75" customHeight="1">
      <c r="A198" s="10"/>
      <c r="B198" s="10"/>
      <c r="C198" s="10"/>
      <c r="D198" s="28"/>
      <c r="E198" s="29"/>
      <c r="F198" s="11"/>
      <c r="G198" s="11"/>
      <c r="H198" s="10"/>
      <c r="I198" s="10"/>
      <c r="J198" s="10"/>
      <c r="K198" s="10"/>
      <c r="L198" s="10"/>
      <c r="M198" s="10"/>
    </row>
    <row r="199" ht="15.75" customHeight="1">
      <c r="A199" s="10"/>
      <c r="B199" s="10"/>
      <c r="C199" s="10"/>
      <c r="D199" s="28"/>
      <c r="E199" s="29"/>
      <c r="F199" s="11"/>
      <c r="G199" s="11"/>
      <c r="H199" s="10"/>
      <c r="I199" s="10"/>
      <c r="J199" s="10"/>
      <c r="K199" s="10"/>
      <c r="L199" s="10"/>
      <c r="M199" s="10"/>
    </row>
    <row r="200" ht="15.75" customHeight="1">
      <c r="A200" s="10"/>
      <c r="B200" s="10"/>
      <c r="C200" s="10"/>
      <c r="D200" s="28"/>
      <c r="E200" s="29"/>
      <c r="F200" s="11"/>
      <c r="G200" s="11"/>
      <c r="H200" s="10"/>
      <c r="I200" s="10"/>
      <c r="J200" s="10"/>
      <c r="K200" s="10"/>
      <c r="L200" s="10"/>
      <c r="M200" s="10"/>
    </row>
    <row r="201" ht="15.75" customHeight="1">
      <c r="A201" s="10"/>
      <c r="B201" s="10"/>
      <c r="C201" s="10"/>
      <c r="D201" s="28"/>
      <c r="E201" s="29"/>
      <c r="F201" s="11"/>
      <c r="G201" s="11"/>
      <c r="H201" s="10"/>
      <c r="I201" s="10"/>
      <c r="J201" s="10"/>
      <c r="K201" s="10"/>
      <c r="L201" s="10"/>
      <c r="M201" s="10"/>
    </row>
    <row r="202" ht="15.75" customHeight="1">
      <c r="A202" s="10"/>
      <c r="B202" s="10"/>
      <c r="C202" s="10"/>
      <c r="D202" s="28"/>
      <c r="E202" s="29"/>
      <c r="F202" s="11"/>
      <c r="G202" s="11"/>
      <c r="H202" s="10"/>
      <c r="I202" s="10"/>
      <c r="J202" s="10"/>
      <c r="K202" s="10"/>
      <c r="L202" s="10"/>
      <c r="M202" s="10"/>
    </row>
    <row r="203" ht="15.75" customHeight="1">
      <c r="A203" s="10"/>
      <c r="B203" s="10"/>
      <c r="C203" s="10"/>
      <c r="D203" s="28"/>
      <c r="E203" s="29"/>
      <c r="F203" s="11"/>
      <c r="G203" s="11"/>
      <c r="H203" s="10"/>
      <c r="I203" s="10"/>
      <c r="J203" s="10"/>
      <c r="K203" s="10"/>
      <c r="L203" s="10"/>
      <c r="M203" s="10"/>
    </row>
    <row r="204" ht="15.75" customHeight="1">
      <c r="A204" s="10"/>
      <c r="B204" s="10"/>
      <c r="C204" s="10"/>
      <c r="D204" s="28"/>
      <c r="E204" s="29"/>
      <c r="F204" s="11"/>
      <c r="G204" s="11"/>
      <c r="H204" s="10"/>
      <c r="I204" s="10"/>
      <c r="J204" s="10"/>
      <c r="K204" s="10"/>
      <c r="L204" s="10"/>
      <c r="M204" s="10"/>
    </row>
    <row r="205" ht="15.75" customHeight="1">
      <c r="A205" s="10"/>
      <c r="B205" s="10"/>
      <c r="C205" s="10"/>
      <c r="D205" s="28"/>
      <c r="E205" s="29"/>
      <c r="F205" s="11"/>
      <c r="G205" s="11"/>
      <c r="H205" s="10"/>
      <c r="I205" s="10"/>
      <c r="J205" s="10"/>
      <c r="K205" s="10"/>
      <c r="L205" s="10"/>
      <c r="M205" s="10"/>
    </row>
    <row r="206" ht="15.75" customHeight="1">
      <c r="A206" s="10"/>
      <c r="B206" s="10"/>
      <c r="C206" s="10"/>
      <c r="D206" s="28"/>
      <c r="E206" s="29"/>
      <c r="F206" s="11"/>
      <c r="G206" s="11"/>
      <c r="H206" s="10"/>
      <c r="I206" s="10"/>
      <c r="J206" s="10"/>
      <c r="K206" s="10"/>
      <c r="L206" s="10"/>
      <c r="M206" s="10"/>
    </row>
    <row r="207" ht="15.75" customHeight="1">
      <c r="A207" s="10"/>
      <c r="B207" s="10"/>
      <c r="C207" s="10"/>
      <c r="D207" s="28"/>
      <c r="E207" s="29"/>
      <c r="F207" s="11"/>
      <c r="G207" s="11"/>
      <c r="H207" s="10"/>
      <c r="I207" s="10"/>
      <c r="J207" s="10"/>
      <c r="K207" s="10"/>
      <c r="L207" s="10"/>
      <c r="M207" s="10"/>
    </row>
    <row r="208" ht="15.75" customHeight="1">
      <c r="A208" s="10"/>
      <c r="B208" s="10"/>
      <c r="C208" s="10"/>
      <c r="D208" s="28"/>
      <c r="E208" s="29"/>
      <c r="F208" s="11"/>
      <c r="G208" s="11"/>
      <c r="H208" s="10"/>
      <c r="I208" s="10"/>
      <c r="J208" s="10"/>
      <c r="K208" s="10"/>
      <c r="L208" s="10"/>
      <c r="M208" s="10"/>
    </row>
    <row r="209" ht="15.75" customHeight="1">
      <c r="A209" s="10"/>
      <c r="B209" s="10"/>
      <c r="C209" s="10"/>
      <c r="D209" s="28"/>
      <c r="E209" s="29"/>
      <c r="F209" s="11"/>
      <c r="G209" s="11"/>
      <c r="H209" s="10"/>
      <c r="I209" s="10"/>
      <c r="J209" s="10"/>
      <c r="K209" s="10"/>
      <c r="L209" s="10"/>
      <c r="M209" s="10"/>
    </row>
    <row r="210" ht="15.75" customHeight="1">
      <c r="A210" s="10"/>
      <c r="B210" s="10"/>
      <c r="C210" s="10"/>
      <c r="D210" s="28"/>
      <c r="E210" s="29"/>
      <c r="F210" s="11"/>
      <c r="G210" s="11"/>
      <c r="H210" s="10"/>
      <c r="I210" s="10"/>
      <c r="J210" s="10"/>
      <c r="K210" s="10"/>
      <c r="L210" s="10"/>
      <c r="M210" s="10"/>
    </row>
    <row r="211" ht="15.75" customHeight="1">
      <c r="A211" s="10"/>
      <c r="B211" s="10"/>
      <c r="C211" s="10"/>
      <c r="D211" s="28"/>
      <c r="E211" s="29"/>
      <c r="F211" s="11"/>
      <c r="G211" s="11"/>
      <c r="H211" s="10"/>
      <c r="I211" s="10"/>
      <c r="J211" s="10"/>
      <c r="K211" s="10"/>
      <c r="L211" s="10"/>
      <c r="M211" s="10"/>
    </row>
    <row r="212" ht="15.75" customHeight="1">
      <c r="A212" s="10"/>
      <c r="B212" s="10"/>
      <c r="C212" s="10"/>
      <c r="D212" s="28"/>
      <c r="E212" s="29"/>
      <c r="F212" s="11"/>
      <c r="G212" s="11"/>
      <c r="H212" s="10"/>
      <c r="I212" s="10"/>
      <c r="J212" s="10"/>
      <c r="K212" s="10"/>
      <c r="L212" s="10"/>
      <c r="M212" s="10"/>
    </row>
    <row r="213" ht="15.75" customHeight="1">
      <c r="A213" s="10"/>
      <c r="B213" s="10"/>
      <c r="C213" s="10"/>
      <c r="D213" s="28"/>
      <c r="E213" s="29"/>
      <c r="F213" s="11"/>
      <c r="G213" s="11"/>
      <c r="H213" s="10"/>
      <c r="I213" s="10"/>
      <c r="J213" s="10"/>
      <c r="K213" s="10"/>
      <c r="L213" s="10"/>
      <c r="M213" s="10"/>
    </row>
    <row r="214" ht="15.75" customHeight="1">
      <c r="A214" s="10"/>
      <c r="B214" s="10"/>
      <c r="C214" s="10"/>
      <c r="D214" s="28"/>
      <c r="E214" s="29"/>
      <c r="F214" s="11"/>
      <c r="G214" s="11"/>
      <c r="H214" s="10"/>
      <c r="I214" s="10"/>
      <c r="J214" s="10"/>
      <c r="K214" s="10"/>
      <c r="L214" s="10"/>
      <c r="M214" s="10"/>
    </row>
    <row r="215" ht="15.75" customHeight="1">
      <c r="A215" s="10"/>
      <c r="B215" s="10"/>
      <c r="C215" s="10"/>
      <c r="D215" s="28"/>
      <c r="E215" s="29"/>
      <c r="F215" s="11"/>
      <c r="G215" s="11"/>
      <c r="H215" s="10"/>
      <c r="I215" s="10"/>
      <c r="J215" s="10"/>
      <c r="K215" s="10"/>
      <c r="L215" s="10"/>
      <c r="M215" s="10"/>
    </row>
    <row r="216" ht="15.75" customHeight="1">
      <c r="A216" s="10"/>
      <c r="B216" s="10"/>
      <c r="C216" s="10"/>
      <c r="D216" s="28"/>
      <c r="E216" s="29"/>
      <c r="F216" s="11"/>
      <c r="G216" s="11"/>
      <c r="H216" s="10"/>
      <c r="I216" s="10"/>
      <c r="J216" s="10"/>
      <c r="K216" s="10"/>
      <c r="L216" s="10"/>
      <c r="M216" s="10"/>
    </row>
    <row r="217" ht="15.75" customHeight="1">
      <c r="A217" s="10"/>
      <c r="B217" s="10"/>
      <c r="C217" s="10"/>
      <c r="D217" s="28"/>
      <c r="E217" s="29"/>
      <c r="F217" s="11"/>
      <c r="G217" s="11"/>
      <c r="H217" s="10"/>
      <c r="I217" s="10"/>
      <c r="J217" s="10"/>
      <c r="K217" s="10"/>
      <c r="L217" s="10"/>
      <c r="M217" s="10"/>
    </row>
    <row r="218" ht="15.75" customHeight="1">
      <c r="A218" s="10"/>
      <c r="B218" s="10"/>
      <c r="C218" s="10"/>
      <c r="D218" s="28"/>
      <c r="E218" s="29"/>
      <c r="F218" s="11"/>
      <c r="G218" s="11"/>
      <c r="H218" s="10"/>
      <c r="I218" s="10"/>
      <c r="J218" s="10"/>
      <c r="K218" s="10"/>
      <c r="L218" s="10"/>
      <c r="M218" s="10"/>
    </row>
    <row r="219" ht="15.75" customHeight="1">
      <c r="A219" s="10"/>
      <c r="B219" s="10"/>
      <c r="C219" s="10"/>
      <c r="D219" s="28"/>
      <c r="E219" s="29"/>
      <c r="F219" s="11"/>
      <c r="G219" s="11"/>
      <c r="H219" s="10"/>
      <c r="I219" s="10"/>
      <c r="J219" s="10"/>
      <c r="K219" s="10"/>
      <c r="L219" s="10"/>
      <c r="M219" s="10"/>
    </row>
    <row r="220" ht="15.75" customHeight="1">
      <c r="D220" s="30"/>
      <c r="E220" s="30"/>
    </row>
    <row r="221" ht="15.75" customHeight="1">
      <c r="D221" s="30"/>
      <c r="E221" s="30"/>
    </row>
    <row r="222" ht="15.75" customHeight="1">
      <c r="D222" s="30"/>
      <c r="E222" s="30"/>
    </row>
    <row r="223" ht="15.75" customHeight="1">
      <c r="D223" s="30"/>
      <c r="E223" s="30"/>
    </row>
    <row r="224" ht="15.75" customHeight="1">
      <c r="D224" s="30"/>
      <c r="E224" s="30"/>
    </row>
    <row r="225" ht="15.75" customHeight="1">
      <c r="D225" s="30"/>
      <c r="E225" s="30"/>
    </row>
    <row r="226" ht="15.75" customHeight="1">
      <c r="D226" s="30"/>
      <c r="E226" s="30"/>
    </row>
    <row r="227" ht="15.75" customHeight="1">
      <c r="D227" s="30"/>
      <c r="E227" s="30"/>
    </row>
    <row r="228" ht="15.75" customHeight="1">
      <c r="D228" s="30"/>
      <c r="E228" s="30"/>
    </row>
    <row r="229" ht="15.75" customHeight="1">
      <c r="D229" s="30"/>
      <c r="E229" s="30"/>
    </row>
    <row r="230" ht="15.75" customHeight="1">
      <c r="D230" s="30"/>
      <c r="E230" s="30"/>
    </row>
    <row r="231" ht="15.75" customHeight="1">
      <c r="D231" s="30"/>
      <c r="E231" s="30"/>
    </row>
    <row r="232" ht="15.75" customHeight="1">
      <c r="D232" s="30"/>
      <c r="E232" s="30"/>
    </row>
    <row r="233" ht="15.75" customHeight="1">
      <c r="D233" s="30"/>
      <c r="E233" s="30"/>
    </row>
    <row r="234" ht="15.75" customHeight="1">
      <c r="D234" s="30"/>
      <c r="E234" s="30"/>
    </row>
    <row r="235" ht="15.75" customHeight="1">
      <c r="D235" s="30"/>
      <c r="E235" s="30"/>
    </row>
    <row r="236" ht="15.75" customHeight="1">
      <c r="D236" s="30"/>
      <c r="E236" s="30"/>
    </row>
    <row r="237" ht="15.75" customHeight="1">
      <c r="D237" s="30"/>
      <c r="E237" s="30"/>
    </row>
    <row r="238" ht="15.75" customHeight="1">
      <c r="D238" s="30"/>
      <c r="E238" s="30"/>
    </row>
    <row r="239" ht="15.75" customHeight="1">
      <c r="D239" s="30"/>
      <c r="E239" s="30"/>
    </row>
    <row r="240" ht="15.75" customHeight="1">
      <c r="D240" s="30"/>
      <c r="E240" s="30"/>
    </row>
    <row r="241" ht="15.75" customHeight="1">
      <c r="D241" s="30"/>
      <c r="E241" s="30"/>
    </row>
    <row r="242" ht="15.75" customHeight="1">
      <c r="D242" s="30"/>
      <c r="E242" s="30"/>
    </row>
    <row r="243" ht="15.75" customHeight="1">
      <c r="D243" s="30"/>
      <c r="E243" s="30"/>
    </row>
    <row r="244" ht="15.75" customHeight="1">
      <c r="D244" s="30"/>
      <c r="E244" s="30"/>
    </row>
    <row r="245" ht="15.75" customHeight="1">
      <c r="D245" s="30"/>
      <c r="E245" s="30"/>
    </row>
    <row r="246" ht="15.75" customHeight="1">
      <c r="D246" s="30"/>
      <c r="E246" s="30"/>
    </row>
    <row r="247" ht="15.75" customHeight="1">
      <c r="D247" s="30"/>
      <c r="E247" s="30"/>
    </row>
    <row r="248" ht="15.75" customHeight="1">
      <c r="D248" s="30"/>
      <c r="E248" s="30"/>
    </row>
    <row r="249" ht="15.75" customHeight="1">
      <c r="D249" s="30"/>
      <c r="E249" s="30"/>
    </row>
    <row r="250" ht="15.75" customHeight="1">
      <c r="D250" s="30"/>
      <c r="E250" s="30"/>
    </row>
    <row r="251" ht="15.75" customHeight="1">
      <c r="D251" s="30"/>
      <c r="E251" s="30"/>
    </row>
    <row r="252" ht="15.75" customHeight="1">
      <c r="D252" s="30"/>
      <c r="E252" s="30"/>
    </row>
    <row r="253" ht="15.75" customHeight="1">
      <c r="D253" s="30"/>
      <c r="E253" s="30"/>
    </row>
    <row r="254" ht="15.75" customHeight="1">
      <c r="D254" s="30"/>
      <c r="E254" s="30"/>
    </row>
    <row r="255" ht="15.75" customHeight="1">
      <c r="D255" s="30"/>
      <c r="E255" s="30"/>
    </row>
    <row r="256" ht="15.75" customHeight="1">
      <c r="D256" s="30"/>
      <c r="E256" s="30"/>
    </row>
    <row r="257" ht="15.75" customHeight="1">
      <c r="D257" s="30"/>
      <c r="E257" s="30"/>
    </row>
    <row r="258" ht="15.75" customHeight="1">
      <c r="D258" s="30"/>
      <c r="E258" s="30"/>
    </row>
    <row r="259" ht="15.75" customHeight="1">
      <c r="D259" s="30"/>
      <c r="E259" s="30"/>
    </row>
    <row r="260" ht="15.75" customHeight="1">
      <c r="D260" s="30"/>
      <c r="E260" s="30"/>
    </row>
    <row r="261" ht="15.75" customHeight="1">
      <c r="D261" s="30"/>
      <c r="E261" s="30"/>
    </row>
    <row r="262" ht="15.75" customHeight="1">
      <c r="D262" s="30"/>
      <c r="E262" s="30"/>
    </row>
    <row r="263" ht="15.75" customHeight="1">
      <c r="D263" s="30"/>
      <c r="E263" s="30"/>
    </row>
    <row r="264" ht="15.75" customHeight="1">
      <c r="D264" s="30"/>
      <c r="E264" s="30"/>
    </row>
    <row r="265" ht="15.75" customHeight="1">
      <c r="D265" s="30"/>
      <c r="E265" s="30"/>
    </row>
    <row r="266" ht="15.75" customHeight="1">
      <c r="D266" s="30"/>
      <c r="E266" s="30"/>
    </row>
    <row r="267" ht="15.75" customHeight="1">
      <c r="D267" s="30"/>
      <c r="E267" s="30"/>
    </row>
    <row r="268" ht="15.75" customHeight="1">
      <c r="D268" s="30"/>
      <c r="E268" s="30"/>
    </row>
    <row r="269" ht="15.75" customHeight="1">
      <c r="D269" s="30"/>
      <c r="E269" s="30"/>
    </row>
    <row r="270" ht="15.75" customHeight="1">
      <c r="D270" s="30"/>
      <c r="E270" s="30"/>
    </row>
    <row r="271" ht="15.75" customHeight="1">
      <c r="D271" s="30"/>
      <c r="E271" s="30"/>
    </row>
    <row r="272" ht="15.75" customHeight="1">
      <c r="D272" s="30"/>
      <c r="E272" s="30"/>
    </row>
    <row r="273" ht="15.75" customHeight="1">
      <c r="D273" s="30"/>
      <c r="E273" s="30"/>
    </row>
    <row r="274" ht="15.75" customHeight="1">
      <c r="D274" s="30"/>
      <c r="E274" s="30"/>
    </row>
    <row r="275" ht="15.75" customHeight="1">
      <c r="D275" s="30"/>
      <c r="E275" s="30"/>
    </row>
    <row r="276" ht="15.75" customHeight="1">
      <c r="D276" s="30"/>
      <c r="E276" s="30"/>
    </row>
    <row r="277" ht="15.75" customHeight="1">
      <c r="D277" s="30"/>
      <c r="E277" s="30"/>
    </row>
    <row r="278" ht="15.75" customHeight="1">
      <c r="D278" s="30"/>
      <c r="E278" s="30"/>
    </row>
    <row r="279" ht="15.75" customHeight="1">
      <c r="D279" s="30"/>
      <c r="E279" s="30"/>
    </row>
    <row r="280" ht="15.75" customHeight="1">
      <c r="D280" s="30"/>
      <c r="E280" s="30"/>
    </row>
    <row r="281" ht="15.75" customHeight="1">
      <c r="D281" s="30"/>
      <c r="E281" s="30"/>
    </row>
    <row r="282" ht="15.75" customHeight="1">
      <c r="D282" s="30"/>
      <c r="E282" s="30"/>
    </row>
    <row r="283" ht="15.75" customHeight="1">
      <c r="D283" s="30"/>
      <c r="E283" s="30"/>
    </row>
    <row r="284" ht="15.75" customHeight="1">
      <c r="D284" s="30"/>
      <c r="E284" s="30"/>
    </row>
    <row r="285" ht="15.75" customHeight="1">
      <c r="D285" s="30"/>
      <c r="E285" s="30"/>
    </row>
    <row r="286" ht="15.75" customHeight="1">
      <c r="D286" s="30"/>
      <c r="E286" s="30"/>
    </row>
    <row r="287" ht="15.75" customHeight="1">
      <c r="D287" s="30"/>
      <c r="E287" s="30"/>
    </row>
    <row r="288" ht="15.75" customHeight="1">
      <c r="D288" s="30"/>
      <c r="E288" s="30"/>
    </row>
    <row r="289" ht="15.75" customHeight="1">
      <c r="D289" s="30"/>
      <c r="E289" s="30"/>
    </row>
    <row r="290" ht="15.75" customHeight="1">
      <c r="D290" s="30"/>
      <c r="E290" s="30"/>
    </row>
    <row r="291" ht="15.75" customHeight="1">
      <c r="D291" s="30"/>
      <c r="E291" s="30"/>
    </row>
    <row r="292" ht="15.75" customHeight="1">
      <c r="D292" s="30"/>
      <c r="E292" s="30"/>
    </row>
    <row r="293" ht="15.75" customHeight="1">
      <c r="D293" s="30"/>
      <c r="E293" s="30"/>
    </row>
    <row r="294" ht="15.75" customHeight="1">
      <c r="D294" s="30"/>
      <c r="E294" s="30"/>
    </row>
    <row r="295" ht="15.75" customHeight="1">
      <c r="D295" s="30"/>
      <c r="E295" s="30"/>
    </row>
    <row r="296" ht="15.75" customHeight="1">
      <c r="D296" s="30"/>
      <c r="E296" s="30"/>
    </row>
    <row r="297" ht="15.75" customHeight="1">
      <c r="D297" s="30"/>
      <c r="E297" s="30"/>
    </row>
    <row r="298" ht="15.75" customHeight="1">
      <c r="D298" s="30"/>
      <c r="E298" s="30"/>
    </row>
    <row r="299" ht="15.75" customHeight="1">
      <c r="D299" s="30"/>
      <c r="E299" s="30"/>
    </row>
    <row r="300" ht="15.75" customHeight="1">
      <c r="D300" s="30"/>
      <c r="E300" s="30"/>
    </row>
    <row r="301" ht="15.75" customHeight="1">
      <c r="D301" s="30"/>
      <c r="E301" s="30"/>
    </row>
    <row r="302" ht="15.75" customHeight="1">
      <c r="D302" s="30"/>
      <c r="E302" s="30"/>
    </row>
    <row r="303" ht="15.75" customHeight="1">
      <c r="D303" s="30"/>
      <c r="E303" s="30"/>
    </row>
    <row r="304" ht="15.75" customHeight="1">
      <c r="D304" s="30"/>
      <c r="E304" s="30"/>
    </row>
    <row r="305" ht="15.75" customHeight="1">
      <c r="D305" s="30"/>
      <c r="E305" s="30"/>
    </row>
    <row r="306" ht="15.75" customHeight="1">
      <c r="D306" s="30"/>
      <c r="E306" s="30"/>
    </row>
    <row r="307" ht="15.75" customHeight="1">
      <c r="D307" s="30"/>
      <c r="E307" s="30"/>
    </row>
    <row r="308" ht="15.75" customHeight="1">
      <c r="D308" s="30"/>
      <c r="E308" s="30"/>
    </row>
    <row r="309" ht="15.75" customHeight="1">
      <c r="D309" s="30"/>
      <c r="E309" s="30"/>
    </row>
    <row r="310" ht="15.75" customHeight="1">
      <c r="D310" s="30"/>
      <c r="E310" s="30"/>
    </row>
    <row r="311" ht="15.75" customHeight="1">
      <c r="D311" s="30"/>
      <c r="E311" s="30"/>
    </row>
    <row r="312" ht="15.75" customHeight="1">
      <c r="D312" s="30"/>
      <c r="E312" s="30"/>
    </row>
    <row r="313" ht="15.75" customHeight="1">
      <c r="D313" s="30"/>
      <c r="E313" s="30"/>
    </row>
    <row r="314" ht="15.75" customHeight="1">
      <c r="D314" s="30"/>
      <c r="E314" s="30"/>
    </row>
    <row r="315" ht="15.75" customHeight="1">
      <c r="D315" s="30"/>
      <c r="E315" s="30"/>
    </row>
    <row r="316" ht="15.75" customHeight="1">
      <c r="D316" s="30"/>
      <c r="E316" s="30"/>
    </row>
    <row r="317" ht="15.75" customHeight="1">
      <c r="D317" s="30"/>
      <c r="E317" s="30"/>
    </row>
    <row r="318" ht="15.75" customHeight="1">
      <c r="D318" s="30"/>
      <c r="E318" s="30"/>
    </row>
    <row r="319" ht="15.75" customHeight="1">
      <c r="D319" s="30"/>
      <c r="E319" s="30"/>
    </row>
    <row r="320" ht="15.75" customHeight="1">
      <c r="D320" s="30"/>
      <c r="E320" s="30"/>
    </row>
    <row r="321" ht="15.75" customHeight="1">
      <c r="D321" s="30"/>
      <c r="E321" s="30"/>
    </row>
    <row r="322" ht="15.75" customHeight="1">
      <c r="D322" s="30"/>
      <c r="E322" s="30"/>
    </row>
    <row r="323" ht="15.75" customHeight="1">
      <c r="D323" s="30"/>
      <c r="E323" s="30"/>
    </row>
    <row r="324" ht="15.75" customHeight="1">
      <c r="D324" s="30"/>
      <c r="E324" s="30"/>
    </row>
    <row r="325" ht="15.75" customHeight="1">
      <c r="D325" s="30"/>
      <c r="E325" s="30"/>
    </row>
    <row r="326" ht="15.75" customHeight="1">
      <c r="D326" s="30"/>
      <c r="E326" s="30"/>
    </row>
    <row r="327" ht="15.75" customHeight="1">
      <c r="D327" s="30"/>
      <c r="E327" s="30"/>
    </row>
    <row r="328" ht="15.75" customHeight="1">
      <c r="D328" s="30"/>
      <c r="E328" s="30"/>
    </row>
    <row r="329" ht="15.75" customHeight="1">
      <c r="D329" s="30"/>
      <c r="E329" s="30"/>
    </row>
    <row r="330" ht="15.75" customHeight="1">
      <c r="D330" s="30"/>
      <c r="E330" s="30"/>
    </row>
    <row r="331" ht="15.75" customHeight="1">
      <c r="D331" s="30"/>
      <c r="E331" s="30"/>
    </row>
    <row r="332" ht="15.75" customHeight="1">
      <c r="D332" s="30"/>
      <c r="E332" s="30"/>
    </row>
    <row r="333" ht="15.75" customHeight="1">
      <c r="D333" s="30"/>
      <c r="E333" s="30"/>
    </row>
    <row r="334" ht="15.75" customHeight="1">
      <c r="D334" s="30"/>
      <c r="E334" s="30"/>
    </row>
    <row r="335" ht="15.75" customHeight="1">
      <c r="D335" s="30"/>
      <c r="E335" s="30"/>
    </row>
    <row r="336" ht="15.75" customHeight="1">
      <c r="D336" s="30"/>
      <c r="E336" s="30"/>
    </row>
    <row r="337" ht="15.75" customHeight="1">
      <c r="D337" s="30"/>
      <c r="E337" s="30"/>
    </row>
    <row r="338" ht="15.75" customHeight="1">
      <c r="D338" s="30"/>
      <c r="E338" s="30"/>
    </row>
    <row r="339" ht="15.75" customHeight="1">
      <c r="D339" s="30"/>
      <c r="E339" s="30"/>
    </row>
    <row r="340" ht="15.75" customHeight="1">
      <c r="D340" s="30"/>
      <c r="E340" s="30"/>
    </row>
    <row r="341" ht="15.75" customHeight="1">
      <c r="D341" s="30"/>
      <c r="E341" s="30"/>
    </row>
    <row r="342" ht="15.75" customHeight="1">
      <c r="D342" s="30"/>
      <c r="E342" s="30"/>
    </row>
    <row r="343" ht="15.75" customHeight="1">
      <c r="D343" s="30"/>
      <c r="E343" s="30"/>
    </row>
    <row r="344" ht="15.75" customHeight="1">
      <c r="D344" s="30"/>
      <c r="E344" s="30"/>
    </row>
    <row r="345" ht="15.75" customHeight="1">
      <c r="D345" s="30"/>
      <c r="E345" s="30"/>
    </row>
    <row r="346" ht="15.75" customHeight="1">
      <c r="D346" s="30"/>
      <c r="E346" s="30"/>
    </row>
    <row r="347" ht="15.75" customHeight="1">
      <c r="D347" s="30"/>
      <c r="E347" s="30"/>
    </row>
    <row r="348" ht="15.75" customHeight="1">
      <c r="D348" s="30"/>
      <c r="E348" s="30"/>
    </row>
    <row r="349" ht="15.75" customHeight="1">
      <c r="D349" s="30"/>
      <c r="E349" s="30"/>
    </row>
    <row r="350" ht="15.75" customHeight="1">
      <c r="D350" s="30"/>
      <c r="E350" s="30"/>
    </row>
    <row r="351" ht="15.75" customHeight="1">
      <c r="D351" s="30"/>
      <c r="E351" s="30"/>
    </row>
    <row r="352" ht="15.75" customHeight="1">
      <c r="D352" s="30"/>
      <c r="E352" s="30"/>
    </row>
    <row r="353" ht="15.75" customHeight="1">
      <c r="D353" s="30"/>
      <c r="E353" s="30"/>
    </row>
    <row r="354" ht="15.75" customHeight="1">
      <c r="D354" s="30"/>
      <c r="E354" s="30"/>
    </row>
    <row r="355" ht="15.75" customHeight="1">
      <c r="D355" s="30"/>
      <c r="E355" s="30"/>
    </row>
    <row r="356" ht="15.75" customHeight="1">
      <c r="D356" s="30"/>
      <c r="E356" s="30"/>
    </row>
    <row r="357" ht="15.75" customHeight="1">
      <c r="D357" s="30"/>
      <c r="E357" s="30"/>
    </row>
    <row r="358" ht="15.75" customHeight="1">
      <c r="D358" s="30"/>
      <c r="E358" s="30"/>
    </row>
    <row r="359" ht="15.75" customHeight="1">
      <c r="D359" s="30"/>
      <c r="E359" s="30"/>
    </row>
    <row r="360" ht="15.75" customHeight="1">
      <c r="D360" s="30"/>
      <c r="E360" s="30"/>
    </row>
    <row r="361" ht="15.75" customHeight="1">
      <c r="D361" s="30"/>
      <c r="E361" s="30"/>
    </row>
    <row r="362" ht="15.75" customHeight="1">
      <c r="D362" s="30"/>
      <c r="E362" s="30"/>
    </row>
    <row r="363" ht="15.75" customHeight="1">
      <c r="D363" s="30"/>
      <c r="E363" s="30"/>
    </row>
    <row r="364" ht="15.75" customHeight="1">
      <c r="D364" s="30"/>
      <c r="E364" s="30"/>
    </row>
    <row r="365" ht="15.75" customHeight="1">
      <c r="D365" s="30"/>
      <c r="E365" s="30"/>
    </row>
    <row r="366" ht="15.75" customHeight="1">
      <c r="D366" s="30"/>
      <c r="E366" s="30"/>
    </row>
    <row r="367" ht="15.75" customHeight="1">
      <c r="D367" s="30"/>
      <c r="E367" s="30"/>
    </row>
    <row r="368" ht="15.75" customHeight="1">
      <c r="D368" s="30"/>
      <c r="E368" s="30"/>
    </row>
    <row r="369" ht="15.75" customHeight="1">
      <c r="D369" s="30"/>
      <c r="E369" s="30"/>
    </row>
    <row r="370" ht="15.75" customHeight="1">
      <c r="D370" s="30"/>
      <c r="E370" s="30"/>
    </row>
    <row r="371" ht="15.75" customHeight="1">
      <c r="D371" s="30"/>
      <c r="E371" s="30"/>
    </row>
    <row r="372" ht="15.75" customHeight="1">
      <c r="D372" s="30"/>
      <c r="E372" s="30"/>
    </row>
    <row r="373" ht="15.75" customHeight="1">
      <c r="D373" s="30"/>
      <c r="E373" s="30"/>
    </row>
    <row r="374" ht="15.75" customHeight="1">
      <c r="D374" s="30"/>
      <c r="E374" s="30"/>
    </row>
    <row r="375" ht="15.75" customHeight="1">
      <c r="D375" s="30"/>
      <c r="E375" s="30"/>
    </row>
    <row r="376" ht="15.75" customHeight="1">
      <c r="D376" s="30"/>
      <c r="E376" s="30"/>
    </row>
    <row r="377" ht="15.75" customHeight="1">
      <c r="D377" s="30"/>
      <c r="E377" s="30"/>
    </row>
    <row r="378" ht="15.75" customHeight="1">
      <c r="D378" s="30"/>
      <c r="E378" s="30"/>
    </row>
    <row r="379" ht="15.75" customHeight="1">
      <c r="D379" s="30"/>
      <c r="E379" s="30"/>
    </row>
    <row r="380" ht="15.75" customHeight="1">
      <c r="D380" s="30"/>
      <c r="E380" s="30"/>
    </row>
    <row r="381" ht="15.75" customHeight="1">
      <c r="D381" s="30"/>
      <c r="E381" s="30"/>
    </row>
    <row r="382" ht="15.75" customHeight="1">
      <c r="D382" s="30"/>
      <c r="E382" s="30"/>
    </row>
    <row r="383" ht="15.75" customHeight="1">
      <c r="D383" s="30"/>
      <c r="E383" s="30"/>
    </row>
    <row r="384" ht="15.75" customHeight="1">
      <c r="D384" s="30"/>
      <c r="E384" s="30"/>
    </row>
    <row r="385" ht="15.75" customHeight="1">
      <c r="D385" s="30"/>
      <c r="E385" s="30"/>
    </row>
    <row r="386" ht="15.75" customHeight="1">
      <c r="D386" s="30"/>
      <c r="E386" s="30"/>
    </row>
    <row r="387" ht="15.75" customHeight="1">
      <c r="D387" s="30"/>
      <c r="E387" s="30"/>
    </row>
    <row r="388" ht="15.75" customHeight="1">
      <c r="D388" s="30"/>
      <c r="E388" s="30"/>
    </row>
    <row r="389" ht="15.75" customHeight="1">
      <c r="D389" s="30"/>
      <c r="E389" s="30"/>
    </row>
    <row r="390" ht="15.75" customHeight="1">
      <c r="D390" s="30"/>
      <c r="E390" s="30"/>
    </row>
    <row r="391" ht="15.75" customHeight="1">
      <c r="D391" s="30"/>
      <c r="E391" s="30"/>
    </row>
    <row r="392" ht="15.75" customHeight="1">
      <c r="D392" s="30"/>
      <c r="E392" s="30"/>
    </row>
    <row r="393" ht="15.75" customHeight="1">
      <c r="D393" s="30"/>
      <c r="E393" s="30"/>
    </row>
    <row r="394" ht="15.75" customHeight="1">
      <c r="D394" s="30"/>
      <c r="E394" s="30"/>
    </row>
    <row r="395" ht="15.75" customHeight="1">
      <c r="D395" s="30"/>
      <c r="E395" s="30"/>
    </row>
    <row r="396" ht="15.75" customHeight="1">
      <c r="D396" s="30"/>
      <c r="E396" s="30"/>
    </row>
    <row r="397" ht="15.75" customHeight="1">
      <c r="D397" s="30"/>
      <c r="E397" s="30"/>
    </row>
    <row r="398" ht="15.75" customHeight="1">
      <c r="D398" s="30"/>
      <c r="E398" s="30"/>
    </row>
    <row r="399" ht="15.75" customHeight="1">
      <c r="D399" s="30"/>
      <c r="E399" s="30"/>
    </row>
    <row r="400" ht="15.75" customHeight="1">
      <c r="D400" s="30"/>
      <c r="E400" s="30"/>
    </row>
    <row r="401" ht="15.75" customHeight="1">
      <c r="D401" s="30"/>
      <c r="E401" s="30"/>
    </row>
    <row r="402" ht="15.75" customHeight="1">
      <c r="D402" s="30"/>
      <c r="E402" s="30"/>
    </row>
    <row r="403" ht="15.75" customHeight="1">
      <c r="D403" s="30"/>
      <c r="E403" s="30"/>
    </row>
    <row r="404" ht="15.75" customHeight="1">
      <c r="D404" s="30"/>
      <c r="E404" s="30"/>
    </row>
    <row r="405" ht="15.75" customHeight="1">
      <c r="D405" s="30"/>
      <c r="E405" s="30"/>
    </row>
    <row r="406" ht="15.75" customHeight="1">
      <c r="D406" s="30"/>
      <c r="E406" s="30"/>
    </row>
    <row r="407" ht="15.75" customHeight="1">
      <c r="D407" s="30"/>
      <c r="E407" s="30"/>
    </row>
    <row r="408" ht="15.75" customHeight="1">
      <c r="D408" s="30"/>
      <c r="E408" s="30"/>
    </row>
    <row r="409" ht="15.75" customHeight="1">
      <c r="D409" s="30"/>
      <c r="E409" s="30"/>
    </row>
    <row r="410" ht="15.75" customHeight="1">
      <c r="D410" s="30"/>
      <c r="E410" s="30"/>
    </row>
    <row r="411" ht="15.75" customHeight="1">
      <c r="D411" s="30"/>
      <c r="E411" s="30"/>
    </row>
    <row r="412" ht="15.75" customHeight="1">
      <c r="D412" s="30"/>
      <c r="E412" s="30"/>
    </row>
    <row r="413" ht="15.75" customHeight="1">
      <c r="D413" s="30"/>
      <c r="E413" s="30"/>
    </row>
    <row r="414" ht="15.75" customHeight="1">
      <c r="D414" s="30"/>
      <c r="E414" s="30"/>
    </row>
    <row r="415" ht="15.75" customHeight="1">
      <c r="D415" s="30"/>
      <c r="E415" s="30"/>
    </row>
    <row r="416" ht="15.75" customHeight="1">
      <c r="D416" s="30"/>
      <c r="E416" s="30"/>
    </row>
    <row r="417" ht="15.75" customHeight="1">
      <c r="D417" s="30"/>
      <c r="E417" s="30"/>
    </row>
    <row r="418" ht="15.75" customHeight="1">
      <c r="D418" s="30"/>
      <c r="E418" s="30"/>
    </row>
    <row r="419" ht="15.75" customHeight="1">
      <c r="D419" s="30"/>
      <c r="E419" s="30"/>
    </row>
    <row r="420" ht="15.75" customHeight="1">
      <c r="D420" s="30"/>
      <c r="E420" s="30"/>
    </row>
    <row r="421" ht="15.75" customHeight="1">
      <c r="D421" s="30"/>
      <c r="E421" s="30"/>
    </row>
    <row r="422" ht="15.75" customHeight="1">
      <c r="D422" s="30"/>
      <c r="E422" s="30"/>
    </row>
    <row r="423" ht="15.75" customHeight="1">
      <c r="D423" s="30"/>
      <c r="E423" s="30"/>
    </row>
    <row r="424" ht="15.75" customHeight="1">
      <c r="D424" s="30"/>
      <c r="E424" s="30"/>
    </row>
    <row r="425" ht="15.75" customHeight="1">
      <c r="D425" s="30"/>
      <c r="E425" s="30"/>
    </row>
    <row r="426" ht="15.75" customHeight="1">
      <c r="D426" s="30"/>
      <c r="E426" s="30"/>
    </row>
    <row r="427" ht="15.75" customHeight="1">
      <c r="D427" s="30"/>
      <c r="E427" s="30"/>
    </row>
    <row r="428" ht="15.75" customHeight="1">
      <c r="D428" s="30"/>
      <c r="E428" s="30"/>
    </row>
    <row r="429" ht="15.75" customHeight="1">
      <c r="D429" s="30"/>
      <c r="E429" s="30"/>
    </row>
    <row r="430" ht="15.75" customHeight="1">
      <c r="D430" s="30"/>
      <c r="E430" s="30"/>
    </row>
    <row r="431" ht="15.75" customHeight="1">
      <c r="D431" s="30"/>
      <c r="E431" s="30"/>
    </row>
    <row r="432" ht="15.75" customHeight="1">
      <c r="D432" s="30"/>
      <c r="E432" s="30"/>
    </row>
    <row r="433" ht="15.75" customHeight="1">
      <c r="D433" s="30"/>
      <c r="E433" s="30"/>
    </row>
    <row r="434" ht="15.75" customHeight="1">
      <c r="D434" s="30"/>
      <c r="E434" s="30"/>
    </row>
    <row r="435" ht="15.75" customHeight="1">
      <c r="D435" s="30"/>
      <c r="E435" s="30"/>
    </row>
    <row r="436" ht="15.75" customHeight="1">
      <c r="D436" s="30"/>
      <c r="E436" s="30"/>
    </row>
    <row r="437" ht="15.75" customHeight="1">
      <c r="D437" s="30"/>
      <c r="E437" s="30"/>
    </row>
    <row r="438" ht="15.75" customHeight="1">
      <c r="D438" s="30"/>
      <c r="E438" s="30"/>
    </row>
    <row r="439" ht="15.75" customHeight="1">
      <c r="D439" s="30"/>
      <c r="E439" s="30"/>
    </row>
    <row r="440" ht="15.75" customHeight="1">
      <c r="D440" s="30"/>
      <c r="E440" s="30"/>
    </row>
    <row r="441" ht="15.75" customHeight="1">
      <c r="D441" s="30"/>
      <c r="E441" s="30"/>
    </row>
    <row r="442" ht="15.75" customHeight="1">
      <c r="D442" s="30"/>
      <c r="E442" s="30"/>
    </row>
    <row r="443" ht="15.75" customHeight="1">
      <c r="D443" s="30"/>
      <c r="E443" s="30"/>
    </row>
    <row r="444" ht="15.75" customHeight="1">
      <c r="D444" s="30"/>
      <c r="E444" s="30"/>
    </row>
    <row r="445" ht="15.75" customHeight="1">
      <c r="D445" s="30"/>
      <c r="E445" s="30"/>
    </row>
    <row r="446" ht="15.75" customHeight="1">
      <c r="D446" s="30"/>
      <c r="E446" s="30"/>
    </row>
    <row r="447" ht="15.75" customHeight="1">
      <c r="D447" s="30"/>
      <c r="E447" s="30"/>
    </row>
    <row r="448" ht="15.75" customHeight="1">
      <c r="D448" s="30"/>
      <c r="E448" s="30"/>
    </row>
    <row r="449" ht="15.75" customHeight="1">
      <c r="D449" s="30"/>
      <c r="E449" s="30"/>
    </row>
    <row r="450" ht="15.75" customHeight="1">
      <c r="D450" s="30"/>
      <c r="E450" s="30"/>
    </row>
    <row r="451" ht="15.75" customHeight="1">
      <c r="D451" s="30"/>
      <c r="E451" s="30"/>
    </row>
    <row r="452" ht="15.75" customHeight="1">
      <c r="D452" s="30"/>
      <c r="E452" s="30"/>
    </row>
    <row r="453" ht="15.75" customHeight="1">
      <c r="D453" s="30"/>
      <c r="E453" s="30"/>
    </row>
    <row r="454" ht="15.75" customHeight="1">
      <c r="D454" s="30"/>
      <c r="E454" s="30"/>
    </row>
    <row r="455" ht="15.75" customHeight="1">
      <c r="D455" s="30"/>
      <c r="E455" s="30"/>
    </row>
    <row r="456" ht="15.75" customHeight="1">
      <c r="D456" s="30"/>
      <c r="E456" s="30"/>
    </row>
    <row r="457" ht="15.75" customHeight="1">
      <c r="D457" s="30"/>
      <c r="E457" s="30"/>
    </row>
    <row r="458" ht="15.75" customHeight="1">
      <c r="D458" s="30"/>
      <c r="E458" s="30"/>
    </row>
    <row r="459" ht="15.75" customHeight="1">
      <c r="D459" s="30"/>
      <c r="E459" s="30"/>
    </row>
    <row r="460" ht="15.75" customHeight="1">
      <c r="D460" s="30"/>
      <c r="E460" s="30"/>
    </row>
    <row r="461" ht="15.75" customHeight="1">
      <c r="D461" s="30"/>
      <c r="E461" s="30"/>
    </row>
    <row r="462" ht="15.75" customHeight="1">
      <c r="D462" s="30"/>
      <c r="E462" s="30"/>
    </row>
    <row r="463" ht="15.75" customHeight="1">
      <c r="D463" s="30"/>
      <c r="E463" s="30"/>
    </row>
    <row r="464" ht="15.75" customHeight="1">
      <c r="D464" s="30"/>
      <c r="E464" s="30"/>
    </row>
    <row r="465" ht="15.75" customHeight="1">
      <c r="D465" s="30"/>
      <c r="E465" s="30"/>
    </row>
    <row r="466" ht="15.75" customHeight="1">
      <c r="D466" s="30"/>
      <c r="E466" s="30"/>
    </row>
    <row r="467" ht="15.75" customHeight="1">
      <c r="D467" s="30"/>
      <c r="E467" s="30"/>
    </row>
    <row r="468" ht="15.75" customHeight="1">
      <c r="D468" s="30"/>
      <c r="E468" s="30"/>
    </row>
    <row r="469" ht="15.75" customHeight="1">
      <c r="D469" s="30"/>
      <c r="E469" s="30"/>
    </row>
    <row r="470" ht="15.75" customHeight="1">
      <c r="D470" s="30"/>
      <c r="E470" s="30"/>
    </row>
    <row r="471" ht="15.75" customHeight="1">
      <c r="D471" s="30"/>
      <c r="E471" s="30"/>
    </row>
    <row r="472" ht="15.75" customHeight="1">
      <c r="D472" s="30"/>
      <c r="E472" s="30"/>
    </row>
    <row r="473" ht="15.75" customHeight="1">
      <c r="D473" s="30"/>
      <c r="E473" s="30"/>
    </row>
    <row r="474" ht="15.75" customHeight="1">
      <c r="D474" s="30"/>
      <c r="E474" s="30"/>
    </row>
    <row r="475" ht="15.75" customHeight="1">
      <c r="D475" s="30"/>
      <c r="E475" s="30"/>
    </row>
    <row r="476" ht="15.75" customHeight="1">
      <c r="D476" s="30"/>
      <c r="E476" s="30"/>
    </row>
    <row r="477" ht="15.75" customHeight="1">
      <c r="D477" s="30"/>
      <c r="E477" s="30"/>
    </row>
    <row r="478" ht="15.75" customHeight="1">
      <c r="D478" s="30"/>
      <c r="E478" s="30"/>
    </row>
    <row r="479" ht="15.75" customHeight="1">
      <c r="D479" s="30"/>
      <c r="E479" s="30"/>
    </row>
    <row r="480" ht="15.75" customHeight="1">
      <c r="D480" s="30"/>
      <c r="E480" s="30"/>
    </row>
    <row r="481" ht="15.75" customHeight="1">
      <c r="D481" s="30"/>
      <c r="E481" s="30"/>
    </row>
    <row r="482" ht="15.75" customHeight="1">
      <c r="D482" s="30"/>
      <c r="E482" s="30"/>
    </row>
    <row r="483" ht="15.75" customHeight="1">
      <c r="D483" s="30"/>
      <c r="E483" s="30"/>
    </row>
    <row r="484" ht="15.75" customHeight="1">
      <c r="D484" s="30"/>
      <c r="E484" s="30"/>
    </row>
    <row r="485" ht="15.75" customHeight="1">
      <c r="D485" s="30"/>
      <c r="E485" s="30"/>
    </row>
    <row r="486" ht="15.75" customHeight="1">
      <c r="D486" s="30"/>
      <c r="E486" s="30"/>
    </row>
    <row r="487" ht="15.75" customHeight="1">
      <c r="D487" s="30"/>
      <c r="E487" s="30"/>
    </row>
    <row r="488" ht="15.75" customHeight="1">
      <c r="D488" s="30"/>
      <c r="E488" s="30"/>
    </row>
    <row r="489" ht="15.75" customHeight="1">
      <c r="D489" s="30"/>
      <c r="E489" s="30"/>
    </row>
    <row r="490" ht="15.75" customHeight="1">
      <c r="D490" s="30"/>
      <c r="E490" s="30"/>
    </row>
    <row r="491" ht="15.75" customHeight="1">
      <c r="D491" s="30"/>
      <c r="E491" s="30"/>
    </row>
    <row r="492" ht="15.75" customHeight="1">
      <c r="D492" s="30"/>
      <c r="E492" s="30"/>
    </row>
    <row r="493" ht="15.75" customHeight="1">
      <c r="D493" s="30"/>
      <c r="E493" s="30"/>
    </row>
    <row r="494" ht="15.75" customHeight="1">
      <c r="D494" s="30"/>
      <c r="E494" s="30"/>
    </row>
    <row r="495" ht="15.75" customHeight="1">
      <c r="D495" s="30"/>
      <c r="E495" s="30"/>
    </row>
    <row r="496" ht="15.75" customHeight="1">
      <c r="D496" s="30"/>
      <c r="E496" s="30"/>
    </row>
    <row r="497" ht="15.75" customHeight="1">
      <c r="D497" s="30"/>
      <c r="E497" s="30"/>
    </row>
    <row r="498" ht="15.75" customHeight="1">
      <c r="D498" s="30"/>
      <c r="E498" s="30"/>
    </row>
    <row r="499" ht="15.75" customHeight="1">
      <c r="D499" s="30"/>
      <c r="E499" s="30"/>
    </row>
    <row r="500" ht="15.75" customHeight="1">
      <c r="D500" s="30"/>
      <c r="E500" s="30"/>
    </row>
    <row r="501" ht="15.75" customHeight="1">
      <c r="D501" s="30"/>
      <c r="E501" s="30"/>
    </row>
    <row r="502" ht="15.75" customHeight="1">
      <c r="D502" s="30"/>
      <c r="E502" s="30"/>
    </row>
    <row r="503" ht="15.75" customHeight="1">
      <c r="D503" s="30"/>
      <c r="E503" s="30"/>
    </row>
    <row r="504" ht="15.75" customHeight="1">
      <c r="D504" s="30"/>
      <c r="E504" s="30"/>
    </row>
    <row r="505" ht="15.75" customHeight="1">
      <c r="D505" s="30"/>
      <c r="E505" s="30"/>
    </row>
    <row r="506" ht="15.75" customHeight="1">
      <c r="D506" s="30"/>
      <c r="E506" s="30"/>
    </row>
    <row r="507" ht="15.75" customHeight="1">
      <c r="D507" s="30"/>
      <c r="E507" s="30"/>
    </row>
    <row r="508" ht="15.75" customHeight="1">
      <c r="D508" s="30"/>
      <c r="E508" s="30"/>
    </row>
    <row r="509" ht="15.75" customHeight="1">
      <c r="D509" s="30"/>
      <c r="E509" s="30"/>
    </row>
    <row r="510" ht="15.75" customHeight="1">
      <c r="D510" s="30"/>
      <c r="E510" s="30"/>
    </row>
    <row r="511" ht="15.75" customHeight="1">
      <c r="D511" s="30"/>
      <c r="E511" s="30"/>
    </row>
    <row r="512" ht="15.75" customHeight="1">
      <c r="D512" s="30"/>
      <c r="E512" s="30"/>
    </row>
    <row r="513" ht="15.75" customHeight="1">
      <c r="D513" s="30"/>
      <c r="E513" s="30"/>
    </row>
    <row r="514" ht="15.75" customHeight="1">
      <c r="D514" s="30"/>
      <c r="E514" s="30"/>
    </row>
    <row r="515" ht="15.75" customHeight="1">
      <c r="D515" s="30"/>
      <c r="E515" s="30"/>
    </row>
    <row r="516" ht="15.75" customHeight="1">
      <c r="D516" s="30"/>
      <c r="E516" s="30"/>
    </row>
    <row r="517" ht="15.75" customHeight="1">
      <c r="D517" s="30"/>
      <c r="E517" s="30"/>
    </row>
    <row r="518" ht="15.75" customHeight="1">
      <c r="D518" s="30"/>
      <c r="E518" s="30"/>
    </row>
    <row r="519" ht="15.75" customHeight="1">
      <c r="D519" s="30"/>
      <c r="E519" s="30"/>
    </row>
    <row r="520" ht="15.75" customHeight="1">
      <c r="D520" s="30"/>
      <c r="E520" s="30"/>
    </row>
    <row r="521" ht="15.75" customHeight="1">
      <c r="D521" s="30"/>
      <c r="E521" s="30"/>
    </row>
    <row r="522" ht="15.75" customHeight="1">
      <c r="D522" s="30"/>
      <c r="E522" s="30"/>
    </row>
    <row r="523" ht="15.75" customHeight="1">
      <c r="D523" s="30"/>
      <c r="E523" s="30"/>
    </row>
    <row r="524" ht="15.75" customHeight="1">
      <c r="D524" s="30"/>
      <c r="E524" s="30"/>
    </row>
    <row r="525" ht="15.75" customHeight="1">
      <c r="D525" s="30"/>
      <c r="E525" s="30"/>
    </row>
    <row r="526" ht="15.75" customHeight="1">
      <c r="D526" s="30"/>
      <c r="E526" s="30"/>
    </row>
    <row r="527" ht="15.75" customHeight="1">
      <c r="D527" s="30"/>
      <c r="E527" s="30"/>
    </row>
    <row r="528" ht="15.75" customHeight="1">
      <c r="D528" s="30"/>
      <c r="E528" s="30"/>
    </row>
    <row r="529" ht="15.75" customHeight="1">
      <c r="D529" s="30"/>
      <c r="E529" s="30"/>
    </row>
    <row r="530" ht="15.75" customHeight="1">
      <c r="D530" s="30"/>
      <c r="E530" s="30"/>
    </row>
    <row r="531" ht="15.75" customHeight="1">
      <c r="D531" s="30"/>
      <c r="E531" s="30"/>
    </row>
    <row r="532" ht="15.75" customHeight="1">
      <c r="D532" s="30"/>
      <c r="E532" s="30"/>
    </row>
    <row r="533" ht="15.75" customHeight="1">
      <c r="D533" s="30"/>
      <c r="E533" s="30"/>
    </row>
    <row r="534" ht="15.75" customHeight="1">
      <c r="D534" s="30"/>
      <c r="E534" s="30"/>
    </row>
    <row r="535" ht="15.75" customHeight="1">
      <c r="D535" s="30"/>
      <c r="E535" s="30"/>
    </row>
    <row r="536" ht="15.75" customHeight="1">
      <c r="D536" s="30"/>
      <c r="E536" s="30"/>
    </row>
    <row r="537" ht="15.75" customHeight="1">
      <c r="D537" s="30"/>
      <c r="E537" s="30"/>
    </row>
    <row r="538" ht="15.75" customHeight="1">
      <c r="D538" s="30"/>
      <c r="E538" s="30"/>
    </row>
    <row r="539" ht="15.75" customHeight="1">
      <c r="D539" s="30"/>
      <c r="E539" s="30"/>
    </row>
    <row r="540" ht="15.75" customHeight="1">
      <c r="D540" s="30"/>
      <c r="E540" s="30"/>
    </row>
    <row r="541" ht="15.75" customHeight="1">
      <c r="D541" s="30"/>
      <c r="E541" s="30"/>
    </row>
    <row r="542" ht="15.75" customHeight="1">
      <c r="D542" s="30"/>
      <c r="E542" s="30"/>
    </row>
    <row r="543" ht="15.75" customHeight="1">
      <c r="D543" s="30"/>
      <c r="E543" s="30"/>
    </row>
    <row r="544" ht="15.75" customHeight="1">
      <c r="D544" s="30"/>
      <c r="E544" s="30"/>
    </row>
    <row r="545" ht="15.75" customHeight="1">
      <c r="D545" s="30"/>
      <c r="E545" s="30"/>
    </row>
    <row r="546" ht="15.75" customHeight="1">
      <c r="D546" s="30"/>
      <c r="E546" s="30"/>
    </row>
    <row r="547" ht="15.75" customHeight="1">
      <c r="D547" s="30"/>
      <c r="E547" s="30"/>
    </row>
    <row r="548" ht="15.75" customHeight="1">
      <c r="D548" s="30"/>
      <c r="E548" s="30"/>
    </row>
    <row r="549" ht="15.75" customHeight="1">
      <c r="D549" s="30"/>
      <c r="E549" s="30"/>
    </row>
    <row r="550" ht="15.75" customHeight="1">
      <c r="D550" s="30"/>
      <c r="E550" s="30"/>
    </row>
    <row r="551" ht="15.75" customHeight="1">
      <c r="D551" s="30"/>
      <c r="E551" s="30"/>
    </row>
    <row r="552" ht="15.75" customHeight="1">
      <c r="D552" s="30"/>
      <c r="E552" s="30"/>
    </row>
    <row r="553" ht="15.75" customHeight="1">
      <c r="D553" s="30"/>
      <c r="E553" s="30"/>
    </row>
    <row r="554" ht="15.75" customHeight="1">
      <c r="D554" s="30"/>
      <c r="E554" s="30"/>
    </row>
    <row r="555" ht="15.75" customHeight="1">
      <c r="D555" s="30"/>
      <c r="E555" s="30"/>
    </row>
    <row r="556" ht="15.75" customHeight="1">
      <c r="D556" s="30"/>
      <c r="E556" s="30"/>
    </row>
    <row r="557" ht="15.75" customHeight="1">
      <c r="D557" s="30"/>
      <c r="E557" s="30"/>
    </row>
    <row r="558" ht="15.75" customHeight="1">
      <c r="D558" s="30"/>
      <c r="E558" s="30"/>
    </row>
    <row r="559" ht="15.75" customHeight="1">
      <c r="D559" s="30"/>
      <c r="E559" s="30"/>
    </row>
    <row r="560" ht="15.75" customHeight="1">
      <c r="D560" s="30"/>
      <c r="E560" s="30"/>
    </row>
    <row r="561" ht="15.75" customHeight="1">
      <c r="D561" s="30"/>
      <c r="E561" s="30"/>
    </row>
    <row r="562" ht="15.75" customHeight="1">
      <c r="D562" s="30"/>
      <c r="E562" s="30"/>
    </row>
    <row r="563" ht="15.75" customHeight="1">
      <c r="D563" s="30"/>
      <c r="E563" s="30"/>
    </row>
    <row r="564" ht="15.75" customHeight="1">
      <c r="D564" s="30"/>
      <c r="E564" s="30"/>
    </row>
    <row r="565" ht="15.75" customHeight="1">
      <c r="D565" s="30"/>
      <c r="E565" s="30"/>
    </row>
    <row r="566" ht="15.75" customHeight="1">
      <c r="D566" s="30"/>
      <c r="E566" s="30"/>
    </row>
    <row r="567" ht="15.75" customHeight="1">
      <c r="D567" s="30"/>
      <c r="E567" s="30"/>
    </row>
    <row r="568" ht="15.75" customHeight="1">
      <c r="D568" s="30"/>
      <c r="E568" s="30"/>
    </row>
    <row r="569" ht="15.75" customHeight="1">
      <c r="D569" s="30"/>
      <c r="E569" s="30"/>
    </row>
    <row r="570" ht="15.75" customHeight="1">
      <c r="D570" s="30"/>
      <c r="E570" s="30"/>
    </row>
    <row r="571" ht="15.75" customHeight="1">
      <c r="D571" s="30"/>
      <c r="E571" s="30"/>
    </row>
    <row r="572" ht="15.75" customHeight="1">
      <c r="D572" s="30"/>
      <c r="E572" s="30"/>
    </row>
    <row r="573" ht="15.75" customHeight="1">
      <c r="D573" s="30"/>
      <c r="E573" s="30"/>
    </row>
    <row r="574" ht="15.75" customHeight="1">
      <c r="D574" s="30"/>
      <c r="E574" s="30"/>
    </row>
    <row r="575" ht="15.75" customHeight="1">
      <c r="D575" s="30"/>
      <c r="E575" s="30"/>
    </row>
    <row r="576" ht="15.75" customHeight="1">
      <c r="D576" s="30"/>
      <c r="E576" s="30"/>
    </row>
    <row r="577" ht="15.75" customHeight="1">
      <c r="D577" s="30"/>
      <c r="E577" s="30"/>
    </row>
    <row r="578" ht="15.75" customHeight="1">
      <c r="D578" s="30"/>
      <c r="E578" s="30"/>
    </row>
    <row r="579" ht="15.75" customHeight="1">
      <c r="D579" s="30"/>
      <c r="E579" s="30"/>
    </row>
    <row r="580" ht="15.75" customHeight="1">
      <c r="D580" s="30"/>
      <c r="E580" s="30"/>
    </row>
    <row r="581" ht="15.75" customHeight="1">
      <c r="D581" s="30"/>
      <c r="E581" s="30"/>
    </row>
    <row r="582" ht="15.75" customHeight="1">
      <c r="D582" s="30"/>
      <c r="E582" s="30"/>
    </row>
    <row r="583" ht="15.75" customHeight="1">
      <c r="D583" s="30"/>
      <c r="E583" s="30"/>
    </row>
    <row r="584" ht="15.75" customHeight="1">
      <c r="D584" s="30"/>
      <c r="E584" s="30"/>
    </row>
    <row r="585" ht="15.75" customHeight="1">
      <c r="D585" s="30"/>
      <c r="E585" s="30"/>
    </row>
    <row r="586" ht="15.75" customHeight="1">
      <c r="D586" s="30"/>
      <c r="E586" s="30"/>
    </row>
    <row r="587" ht="15.75" customHeight="1">
      <c r="D587" s="30"/>
      <c r="E587" s="30"/>
    </row>
    <row r="588" ht="15.75" customHeight="1">
      <c r="D588" s="30"/>
      <c r="E588" s="30"/>
    </row>
    <row r="589" ht="15.75" customHeight="1">
      <c r="D589" s="30"/>
      <c r="E589" s="30"/>
    </row>
    <row r="590" ht="15.75" customHeight="1">
      <c r="D590" s="30"/>
      <c r="E590" s="30"/>
    </row>
    <row r="591" ht="15.75" customHeight="1">
      <c r="D591" s="30"/>
      <c r="E591" s="30"/>
    </row>
    <row r="592" ht="15.75" customHeight="1">
      <c r="D592" s="30"/>
      <c r="E592" s="30"/>
    </row>
    <row r="593" ht="15.75" customHeight="1">
      <c r="D593" s="30"/>
      <c r="E593" s="30"/>
    </row>
    <row r="594" ht="15.75" customHeight="1">
      <c r="D594" s="30"/>
      <c r="E594" s="30"/>
    </row>
    <row r="595" ht="15.75" customHeight="1">
      <c r="D595" s="30"/>
      <c r="E595" s="30"/>
    </row>
    <row r="596" ht="15.75" customHeight="1">
      <c r="D596" s="30"/>
      <c r="E596" s="30"/>
    </row>
    <row r="597" ht="15.75" customHeight="1">
      <c r="D597" s="30"/>
      <c r="E597" s="30"/>
    </row>
    <row r="598" ht="15.75" customHeight="1">
      <c r="D598" s="30"/>
      <c r="E598" s="30"/>
    </row>
    <row r="599" ht="15.75" customHeight="1">
      <c r="D599" s="30"/>
      <c r="E599" s="30"/>
    </row>
    <row r="600" ht="15.75" customHeight="1">
      <c r="D600" s="30"/>
      <c r="E600" s="30"/>
    </row>
    <row r="601" ht="15.75" customHeight="1">
      <c r="D601" s="30"/>
      <c r="E601" s="30"/>
    </row>
    <row r="602" ht="15.75" customHeight="1">
      <c r="D602" s="30"/>
      <c r="E602" s="30"/>
    </row>
    <row r="603" ht="15.75" customHeight="1">
      <c r="D603" s="30"/>
      <c r="E603" s="30"/>
    </row>
    <row r="604" ht="15.75" customHeight="1">
      <c r="D604" s="30"/>
      <c r="E604" s="30"/>
    </row>
    <row r="605" ht="15.75" customHeight="1">
      <c r="D605" s="30"/>
      <c r="E605" s="30"/>
    </row>
    <row r="606" ht="15.75" customHeight="1">
      <c r="D606" s="30"/>
      <c r="E606" s="30"/>
    </row>
    <row r="607" ht="15.75" customHeight="1">
      <c r="D607" s="30"/>
      <c r="E607" s="30"/>
    </row>
    <row r="608" ht="15.75" customHeight="1">
      <c r="D608" s="30"/>
      <c r="E608" s="30"/>
    </row>
    <row r="609" ht="15.75" customHeight="1">
      <c r="D609" s="30"/>
      <c r="E609" s="30"/>
    </row>
    <row r="610" ht="15.75" customHeight="1">
      <c r="D610" s="30"/>
      <c r="E610" s="30"/>
    </row>
    <row r="611" ht="15.75" customHeight="1">
      <c r="D611" s="30"/>
      <c r="E611" s="30"/>
    </row>
    <row r="612" ht="15.75" customHeight="1">
      <c r="D612" s="30"/>
      <c r="E612" s="30"/>
    </row>
    <row r="613" ht="15.75" customHeight="1">
      <c r="D613" s="30"/>
      <c r="E613" s="30"/>
    </row>
    <row r="614" ht="15.75" customHeight="1">
      <c r="D614" s="30"/>
      <c r="E614" s="30"/>
    </row>
    <row r="615" ht="15.75" customHeight="1">
      <c r="D615" s="30"/>
      <c r="E615" s="30"/>
    </row>
    <row r="616" ht="15.75" customHeight="1">
      <c r="D616" s="30"/>
      <c r="E616" s="30"/>
    </row>
    <row r="617" ht="15.75" customHeight="1">
      <c r="D617" s="30"/>
      <c r="E617" s="30"/>
    </row>
    <row r="618" ht="15.75" customHeight="1">
      <c r="D618" s="30"/>
      <c r="E618" s="30"/>
    </row>
    <row r="619" ht="15.75" customHeight="1">
      <c r="D619" s="30"/>
      <c r="E619" s="30"/>
    </row>
    <row r="620" ht="15.75" customHeight="1">
      <c r="D620" s="30"/>
      <c r="E620" s="30"/>
    </row>
    <row r="621" ht="15.75" customHeight="1">
      <c r="D621" s="30"/>
      <c r="E621" s="30"/>
    </row>
    <row r="622" ht="15.75" customHeight="1">
      <c r="D622" s="30"/>
      <c r="E622" s="30"/>
    </row>
    <row r="623" ht="15.75" customHeight="1">
      <c r="D623" s="30"/>
      <c r="E623" s="30"/>
    </row>
    <row r="624" ht="15.75" customHeight="1">
      <c r="D624" s="30"/>
      <c r="E624" s="30"/>
    </row>
    <row r="625" ht="15.75" customHeight="1">
      <c r="D625" s="30"/>
      <c r="E625" s="30"/>
    </row>
    <row r="626" ht="15.75" customHeight="1">
      <c r="D626" s="30"/>
      <c r="E626" s="30"/>
    </row>
    <row r="627" ht="15.75" customHeight="1">
      <c r="D627" s="30"/>
      <c r="E627" s="30"/>
    </row>
    <row r="628" ht="15.75" customHeight="1">
      <c r="D628" s="30"/>
      <c r="E628" s="30"/>
    </row>
    <row r="629" ht="15.75" customHeight="1">
      <c r="D629" s="30"/>
      <c r="E629" s="30"/>
    </row>
    <row r="630" ht="15.75" customHeight="1">
      <c r="D630" s="30"/>
      <c r="E630" s="30"/>
    </row>
    <row r="631" ht="15.75" customHeight="1">
      <c r="D631" s="30"/>
      <c r="E631" s="30"/>
    </row>
    <row r="632" ht="15.75" customHeight="1">
      <c r="D632" s="30"/>
      <c r="E632" s="30"/>
    </row>
    <row r="633" ht="15.75" customHeight="1">
      <c r="D633" s="30"/>
      <c r="E633" s="30"/>
    </row>
    <row r="634" ht="15.75" customHeight="1">
      <c r="D634" s="30"/>
      <c r="E634" s="30"/>
    </row>
    <row r="635" ht="15.75" customHeight="1">
      <c r="D635" s="30"/>
      <c r="E635" s="30"/>
    </row>
    <row r="636" ht="15.75" customHeight="1">
      <c r="D636" s="30"/>
      <c r="E636" s="30"/>
    </row>
    <row r="637" ht="15.75" customHeight="1">
      <c r="D637" s="30"/>
      <c r="E637" s="30"/>
    </row>
    <row r="638" ht="15.75" customHeight="1">
      <c r="D638" s="30"/>
      <c r="E638" s="30"/>
    </row>
    <row r="639" ht="15.75" customHeight="1">
      <c r="D639" s="30"/>
      <c r="E639" s="30"/>
    </row>
    <row r="640" ht="15.75" customHeight="1">
      <c r="D640" s="30"/>
      <c r="E640" s="30"/>
    </row>
    <row r="641" ht="15.75" customHeight="1">
      <c r="D641" s="30"/>
      <c r="E641" s="30"/>
    </row>
    <row r="642" ht="15.75" customHeight="1">
      <c r="D642" s="30"/>
      <c r="E642" s="30"/>
    </row>
    <row r="643" ht="15.75" customHeight="1">
      <c r="D643" s="30"/>
      <c r="E643" s="30"/>
    </row>
    <row r="644" ht="15.75" customHeight="1">
      <c r="D644" s="30"/>
      <c r="E644" s="30"/>
    </row>
    <row r="645" ht="15.75" customHeight="1">
      <c r="D645" s="30"/>
      <c r="E645" s="30"/>
    </row>
    <row r="646" ht="15.75" customHeight="1">
      <c r="D646" s="30"/>
      <c r="E646" s="30"/>
    </row>
    <row r="647" ht="15.75" customHeight="1">
      <c r="D647" s="30"/>
      <c r="E647" s="30"/>
    </row>
    <row r="648" ht="15.75" customHeight="1">
      <c r="D648" s="30"/>
      <c r="E648" s="30"/>
    </row>
    <row r="649" ht="15.75" customHeight="1">
      <c r="D649" s="30"/>
      <c r="E649" s="30"/>
    </row>
    <row r="650" ht="15.75" customHeight="1">
      <c r="D650" s="30"/>
      <c r="E650" s="30"/>
    </row>
    <row r="651" ht="15.75" customHeight="1">
      <c r="D651" s="30"/>
      <c r="E651" s="30"/>
    </row>
    <row r="652" ht="15.75" customHeight="1">
      <c r="D652" s="30"/>
      <c r="E652" s="30"/>
    </row>
    <row r="653" ht="15.75" customHeight="1">
      <c r="D653" s="30"/>
      <c r="E653" s="30"/>
    </row>
    <row r="654" ht="15.75" customHeight="1">
      <c r="D654" s="30"/>
      <c r="E654" s="30"/>
    </row>
    <row r="655" ht="15.75" customHeight="1">
      <c r="D655" s="30"/>
      <c r="E655" s="30"/>
    </row>
    <row r="656" ht="15.75" customHeight="1">
      <c r="D656" s="30"/>
      <c r="E656" s="30"/>
    </row>
    <row r="657" ht="15.75" customHeight="1">
      <c r="D657" s="30"/>
      <c r="E657" s="30"/>
    </row>
    <row r="658" ht="15.75" customHeight="1">
      <c r="D658" s="30"/>
      <c r="E658" s="30"/>
    </row>
    <row r="659" ht="15.75" customHeight="1">
      <c r="D659" s="30"/>
      <c r="E659" s="30"/>
    </row>
    <row r="660" ht="15.75" customHeight="1">
      <c r="D660" s="30"/>
      <c r="E660" s="30"/>
    </row>
    <row r="661" ht="15.75" customHeight="1">
      <c r="D661" s="30"/>
      <c r="E661" s="30"/>
    </row>
    <row r="662" ht="15.75" customHeight="1">
      <c r="D662" s="30"/>
      <c r="E662" s="30"/>
    </row>
    <row r="663" ht="15.75" customHeight="1">
      <c r="D663" s="30"/>
      <c r="E663" s="30"/>
    </row>
    <row r="664" ht="15.75" customHeight="1">
      <c r="D664" s="30"/>
      <c r="E664" s="30"/>
    </row>
    <row r="665" ht="15.75" customHeight="1">
      <c r="D665" s="30"/>
      <c r="E665" s="30"/>
    </row>
    <row r="666" ht="15.75" customHeight="1">
      <c r="D666" s="30"/>
      <c r="E666" s="30"/>
    </row>
    <row r="667" ht="15.75" customHeight="1">
      <c r="D667" s="30"/>
      <c r="E667" s="30"/>
    </row>
    <row r="668" ht="15.75" customHeight="1">
      <c r="D668" s="30"/>
      <c r="E668" s="30"/>
    </row>
    <row r="669" ht="15.75" customHeight="1">
      <c r="D669" s="30"/>
      <c r="E669" s="30"/>
    </row>
    <row r="670" ht="15.75" customHeight="1">
      <c r="D670" s="30"/>
      <c r="E670" s="30"/>
    </row>
    <row r="671" ht="15.75" customHeight="1">
      <c r="D671" s="30"/>
      <c r="E671" s="30"/>
    </row>
    <row r="672" ht="15.75" customHeight="1">
      <c r="D672" s="30"/>
      <c r="E672" s="30"/>
    </row>
    <row r="673" ht="15.75" customHeight="1">
      <c r="D673" s="30"/>
      <c r="E673" s="30"/>
    </row>
    <row r="674" ht="15.75" customHeight="1">
      <c r="D674" s="30"/>
      <c r="E674" s="30"/>
    </row>
    <row r="675" ht="15.75" customHeight="1">
      <c r="D675" s="30"/>
      <c r="E675" s="30"/>
    </row>
    <row r="676" ht="15.75" customHeight="1">
      <c r="D676" s="30"/>
      <c r="E676" s="30"/>
    </row>
    <row r="677" ht="15.75" customHeight="1">
      <c r="D677" s="30"/>
      <c r="E677" s="30"/>
    </row>
    <row r="678" ht="15.75" customHeight="1">
      <c r="D678" s="30"/>
      <c r="E678" s="30"/>
    </row>
    <row r="679" ht="15.75" customHeight="1">
      <c r="D679" s="30"/>
      <c r="E679" s="30"/>
    </row>
    <row r="680" ht="15.75" customHeight="1">
      <c r="D680" s="30"/>
      <c r="E680" s="30"/>
    </row>
    <row r="681" ht="15.75" customHeight="1">
      <c r="D681" s="30"/>
      <c r="E681" s="30"/>
    </row>
    <row r="682" ht="15.75" customHeight="1">
      <c r="D682" s="30"/>
      <c r="E682" s="30"/>
    </row>
    <row r="683" ht="15.75" customHeight="1">
      <c r="D683" s="30"/>
      <c r="E683" s="30"/>
    </row>
    <row r="684" ht="15.75" customHeight="1">
      <c r="D684" s="30"/>
      <c r="E684" s="30"/>
    </row>
    <row r="685" ht="15.75" customHeight="1">
      <c r="D685" s="30"/>
      <c r="E685" s="30"/>
    </row>
    <row r="686" ht="15.75" customHeight="1">
      <c r="D686" s="30"/>
      <c r="E686" s="30"/>
    </row>
    <row r="687" ht="15.75" customHeight="1">
      <c r="D687" s="30"/>
      <c r="E687" s="30"/>
    </row>
    <row r="688" ht="15.75" customHeight="1">
      <c r="D688" s="30"/>
      <c r="E688" s="30"/>
    </row>
    <row r="689" ht="15.75" customHeight="1">
      <c r="D689" s="30"/>
      <c r="E689" s="30"/>
    </row>
    <row r="690" ht="15.75" customHeight="1">
      <c r="D690" s="30"/>
      <c r="E690" s="30"/>
    </row>
    <row r="691" ht="15.75" customHeight="1">
      <c r="D691" s="30"/>
      <c r="E691" s="30"/>
    </row>
    <row r="692" ht="15.75" customHeight="1">
      <c r="D692" s="30"/>
      <c r="E692" s="30"/>
    </row>
    <row r="693" ht="15.75" customHeight="1">
      <c r="D693" s="30"/>
      <c r="E693" s="30"/>
    </row>
    <row r="694" ht="15.75" customHeight="1">
      <c r="D694" s="30"/>
      <c r="E694" s="30"/>
    </row>
    <row r="695" ht="15.75" customHeight="1">
      <c r="D695" s="30"/>
      <c r="E695" s="30"/>
    </row>
    <row r="696" ht="15.75" customHeight="1">
      <c r="D696" s="30"/>
      <c r="E696" s="30"/>
    </row>
    <row r="697" ht="15.75" customHeight="1">
      <c r="D697" s="30"/>
      <c r="E697" s="30"/>
    </row>
    <row r="698" ht="15.75" customHeight="1">
      <c r="D698" s="30"/>
      <c r="E698" s="30"/>
    </row>
    <row r="699" ht="15.75" customHeight="1">
      <c r="D699" s="30"/>
      <c r="E699" s="30"/>
    </row>
    <row r="700" ht="15.75" customHeight="1">
      <c r="D700" s="30"/>
      <c r="E700" s="30"/>
    </row>
    <row r="701" ht="15.75" customHeight="1">
      <c r="D701" s="30"/>
      <c r="E701" s="30"/>
    </row>
    <row r="702" ht="15.75" customHeight="1">
      <c r="D702" s="30"/>
      <c r="E702" s="30"/>
    </row>
    <row r="703" ht="15.75" customHeight="1">
      <c r="D703" s="30"/>
      <c r="E703" s="30"/>
    </row>
    <row r="704" ht="15.75" customHeight="1">
      <c r="D704" s="30"/>
      <c r="E704" s="30"/>
    </row>
    <row r="705" ht="15.75" customHeight="1">
      <c r="D705" s="30"/>
      <c r="E705" s="30"/>
    </row>
    <row r="706" ht="15.75" customHeight="1">
      <c r="D706" s="30"/>
      <c r="E706" s="30"/>
    </row>
    <row r="707" ht="15.75" customHeight="1">
      <c r="D707" s="30"/>
      <c r="E707" s="30"/>
    </row>
    <row r="708" ht="15.75" customHeight="1">
      <c r="D708" s="30"/>
      <c r="E708" s="30"/>
    </row>
    <row r="709" ht="15.75" customHeight="1">
      <c r="D709" s="30"/>
      <c r="E709" s="30"/>
    </row>
    <row r="710" ht="15.75" customHeight="1">
      <c r="D710" s="30"/>
      <c r="E710" s="30"/>
    </row>
    <row r="711" ht="15.75" customHeight="1">
      <c r="D711" s="30"/>
      <c r="E711" s="30"/>
    </row>
    <row r="712" ht="15.75" customHeight="1">
      <c r="D712" s="30"/>
      <c r="E712" s="30"/>
    </row>
    <row r="713" ht="15.75" customHeight="1">
      <c r="D713" s="30"/>
      <c r="E713" s="30"/>
    </row>
    <row r="714" ht="15.75" customHeight="1">
      <c r="D714" s="30"/>
      <c r="E714" s="30"/>
    </row>
    <row r="715" ht="15.75" customHeight="1">
      <c r="D715" s="30"/>
      <c r="E715" s="30"/>
    </row>
    <row r="716" ht="15.75" customHeight="1">
      <c r="D716" s="30"/>
      <c r="E716" s="30"/>
    </row>
    <row r="717" ht="15.75" customHeight="1">
      <c r="D717" s="30"/>
      <c r="E717" s="30"/>
    </row>
    <row r="718" ht="15.75" customHeight="1">
      <c r="D718" s="30"/>
      <c r="E718" s="30"/>
    </row>
    <row r="719" ht="15.75" customHeight="1">
      <c r="D719" s="30"/>
      <c r="E719" s="30"/>
    </row>
    <row r="720" ht="15.75" customHeight="1">
      <c r="D720" s="30"/>
      <c r="E720" s="30"/>
    </row>
    <row r="721" ht="15.75" customHeight="1">
      <c r="D721" s="30"/>
      <c r="E721" s="30"/>
    </row>
    <row r="722" ht="15.75" customHeight="1">
      <c r="D722" s="30"/>
      <c r="E722" s="30"/>
    </row>
    <row r="723" ht="15.75" customHeight="1">
      <c r="D723" s="30"/>
      <c r="E723" s="30"/>
    </row>
    <row r="724" ht="15.75" customHeight="1">
      <c r="D724" s="30"/>
      <c r="E724" s="30"/>
    </row>
    <row r="725" ht="15.75" customHeight="1">
      <c r="D725" s="30"/>
      <c r="E725" s="30"/>
    </row>
    <row r="726" ht="15.75" customHeight="1">
      <c r="D726" s="30"/>
      <c r="E726" s="30"/>
    </row>
    <row r="727" ht="15.75" customHeight="1">
      <c r="D727" s="30"/>
      <c r="E727" s="30"/>
    </row>
    <row r="728" ht="15.75" customHeight="1">
      <c r="D728" s="30"/>
      <c r="E728" s="30"/>
    </row>
    <row r="729" ht="15.75" customHeight="1">
      <c r="D729" s="30"/>
      <c r="E729" s="30"/>
    </row>
    <row r="730" ht="15.75" customHeight="1">
      <c r="D730" s="30"/>
      <c r="E730" s="30"/>
    </row>
    <row r="731" ht="15.75" customHeight="1">
      <c r="D731" s="30"/>
      <c r="E731" s="30"/>
    </row>
    <row r="732" ht="15.75" customHeight="1">
      <c r="D732" s="30"/>
      <c r="E732" s="30"/>
    </row>
    <row r="733" ht="15.75" customHeight="1">
      <c r="D733" s="30"/>
      <c r="E733" s="30"/>
    </row>
    <row r="734" ht="15.75" customHeight="1">
      <c r="D734" s="30"/>
      <c r="E734" s="30"/>
    </row>
    <row r="735" ht="15.75" customHeight="1">
      <c r="D735" s="30"/>
      <c r="E735" s="30"/>
    </row>
    <row r="736" ht="15.75" customHeight="1">
      <c r="D736" s="30"/>
      <c r="E736" s="30"/>
    </row>
    <row r="737" ht="15.75" customHeight="1">
      <c r="D737" s="30"/>
      <c r="E737" s="30"/>
    </row>
    <row r="738" ht="15.75" customHeight="1">
      <c r="D738" s="30"/>
      <c r="E738" s="30"/>
    </row>
    <row r="739" ht="15.75" customHeight="1">
      <c r="D739" s="30"/>
      <c r="E739" s="30"/>
    </row>
    <row r="740" ht="15.75" customHeight="1">
      <c r="D740" s="30"/>
      <c r="E740" s="30"/>
    </row>
    <row r="741" ht="15.75" customHeight="1">
      <c r="D741" s="30"/>
      <c r="E741" s="30"/>
    </row>
    <row r="742" ht="15.75" customHeight="1">
      <c r="D742" s="30"/>
      <c r="E742" s="30"/>
    </row>
    <row r="743" ht="15.75" customHeight="1">
      <c r="D743" s="30"/>
      <c r="E743" s="30"/>
    </row>
    <row r="744" ht="15.75" customHeight="1">
      <c r="D744" s="30"/>
      <c r="E744" s="30"/>
    </row>
    <row r="745" ht="15.75" customHeight="1">
      <c r="D745" s="30"/>
      <c r="E745" s="30"/>
    </row>
    <row r="746" ht="15.75" customHeight="1">
      <c r="D746" s="30"/>
      <c r="E746" s="30"/>
    </row>
    <row r="747" ht="15.75" customHeight="1">
      <c r="D747" s="30"/>
      <c r="E747" s="30"/>
    </row>
    <row r="748" ht="15.75" customHeight="1">
      <c r="D748" s="30"/>
      <c r="E748" s="30"/>
    </row>
    <row r="749" ht="15.75" customHeight="1">
      <c r="D749" s="30"/>
      <c r="E749" s="30"/>
    </row>
    <row r="750" ht="15.75" customHeight="1">
      <c r="D750" s="30"/>
      <c r="E750" s="30"/>
    </row>
    <row r="751" ht="15.75" customHeight="1">
      <c r="D751" s="30"/>
      <c r="E751" s="30"/>
    </row>
    <row r="752" ht="15.75" customHeight="1">
      <c r="D752" s="30"/>
      <c r="E752" s="30"/>
    </row>
    <row r="753" ht="15.75" customHeight="1">
      <c r="D753" s="30"/>
      <c r="E753" s="30"/>
    </row>
    <row r="754" ht="15.75" customHeight="1">
      <c r="D754" s="30"/>
      <c r="E754" s="30"/>
    </row>
    <row r="755" ht="15.75" customHeight="1">
      <c r="D755" s="30"/>
      <c r="E755" s="30"/>
    </row>
    <row r="756" ht="15.75" customHeight="1">
      <c r="D756" s="30"/>
      <c r="E756" s="30"/>
    </row>
    <row r="757" ht="15.75" customHeight="1">
      <c r="D757" s="30"/>
      <c r="E757" s="30"/>
    </row>
    <row r="758" ht="15.75" customHeight="1">
      <c r="D758" s="30"/>
      <c r="E758" s="30"/>
    </row>
    <row r="759" ht="15.75" customHeight="1">
      <c r="D759" s="30"/>
      <c r="E759" s="30"/>
    </row>
    <row r="760" ht="15.75" customHeight="1">
      <c r="D760" s="30"/>
      <c r="E760" s="30"/>
    </row>
    <row r="761" ht="15.75" customHeight="1">
      <c r="D761" s="30"/>
      <c r="E761" s="30"/>
    </row>
    <row r="762" ht="15.75" customHeight="1">
      <c r="D762" s="30"/>
      <c r="E762" s="30"/>
    </row>
    <row r="763" ht="15.75" customHeight="1">
      <c r="D763" s="30"/>
      <c r="E763" s="30"/>
    </row>
    <row r="764" ht="15.75" customHeight="1">
      <c r="D764" s="30"/>
      <c r="E764" s="30"/>
    </row>
    <row r="765" ht="15.75" customHeight="1">
      <c r="D765" s="30"/>
      <c r="E765" s="30"/>
    </row>
    <row r="766" ht="15.75" customHeight="1">
      <c r="D766" s="30"/>
      <c r="E766" s="30"/>
    </row>
    <row r="767" ht="15.75" customHeight="1">
      <c r="D767" s="30"/>
      <c r="E767" s="30"/>
    </row>
    <row r="768" ht="15.75" customHeight="1">
      <c r="D768" s="30"/>
      <c r="E768" s="30"/>
    </row>
    <row r="769" ht="15.75" customHeight="1">
      <c r="D769" s="30"/>
      <c r="E769" s="30"/>
    </row>
    <row r="770" ht="15.75" customHeight="1">
      <c r="D770" s="30"/>
      <c r="E770" s="30"/>
    </row>
    <row r="771" ht="15.75" customHeight="1">
      <c r="D771" s="30"/>
      <c r="E771" s="30"/>
    </row>
    <row r="772" ht="15.75" customHeight="1">
      <c r="D772" s="30"/>
      <c r="E772" s="30"/>
    </row>
    <row r="773" ht="15.75" customHeight="1">
      <c r="D773" s="30"/>
      <c r="E773" s="30"/>
    </row>
    <row r="774" ht="15.75" customHeight="1">
      <c r="D774" s="30"/>
      <c r="E774" s="30"/>
    </row>
    <row r="775" ht="15.75" customHeight="1">
      <c r="D775" s="30"/>
      <c r="E775" s="30"/>
    </row>
    <row r="776" ht="15.75" customHeight="1">
      <c r="D776" s="30"/>
      <c r="E776" s="30"/>
    </row>
    <row r="777" ht="15.75" customHeight="1">
      <c r="D777" s="30"/>
      <c r="E777" s="30"/>
    </row>
    <row r="778" ht="15.75" customHeight="1">
      <c r="D778" s="30"/>
      <c r="E778" s="30"/>
    </row>
    <row r="779" ht="15.75" customHeight="1">
      <c r="D779" s="30"/>
      <c r="E779" s="30"/>
    </row>
    <row r="780" ht="15.75" customHeight="1">
      <c r="D780" s="30"/>
      <c r="E780" s="30"/>
    </row>
    <row r="781" ht="15.75" customHeight="1">
      <c r="D781" s="30"/>
      <c r="E781" s="30"/>
    </row>
    <row r="782" ht="15.75" customHeight="1">
      <c r="D782" s="30"/>
      <c r="E782" s="30"/>
    </row>
    <row r="783" ht="15.75" customHeight="1">
      <c r="D783" s="30"/>
      <c r="E783" s="30"/>
    </row>
    <row r="784" ht="15.75" customHeight="1">
      <c r="D784" s="30"/>
      <c r="E784" s="30"/>
    </row>
    <row r="785" ht="15.75" customHeight="1">
      <c r="D785" s="30"/>
      <c r="E785" s="30"/>
    </row>
    <row r="786" ht="15.75" customHeight="1">
      <c r="D786" s="30"/>
      <c r="E786" s="30"/>
    </row>
    <row r="787" ht="15.75" customHeight="1">
      <c r="D787" s="30"/>
      <c r="E787" s="30"/>
    </row>
    <row r="788" ht="15.75" customHeight="1">
      <c r="D788" s="30"/>
      <c r="E788" s="30"/>
    </row>
    <row r="789" ht="15.75" customHeight="1">
      <c r="D789" s="30"/>
      <c r="E789" s="30"/>
    </row>
    <row r="790" ht="15.75" customHeight="1">
      <c r="D790" s="30"/>
      <c r="E790" s="30"/>
    </row>
    <row r="791" ht="15.75" customHeight="1">
      <c r="D791" s="30"/>
      <c r="E791" s="30"/>
    </row>
    <row r="792" ht="15.75" customHeight="1">
      <c r="D792" s="30"/>
      <c r="E792" s="30"/>
    </row>
    <row r="793" ht="15.75" customHeight="1">
      <c r="D793" s="30"/>
      <c r="E793" s="30"/>
    </row>
    <row r="794" ht="15.75" customHeight="1">
      <c r="D794" s="30"/>
      <c r="E794" s="30"/>
    </row>
    <row r="795" ht="15.75" customHeight="1">
      <c r="D795" s="30"/>
      <c r="E795" s="30"/>
    </row>
    <row r="796" ht="15.75" customHeight="1">
      <c r="D796" s="30"/>
      <c r="E796" s="30"/>
    </row>
    <row r="797" ht="15.75" customHeight="1">
      <c r="D797" s="30"/>
      <c r="E797" s="30"/>
    </row>
    <row r="798" ht="15.75" customHeight="1">
      <c r="D798" s="30"/>
      <c r="E798" s="30"/>
    </row>
    <row r="799" ht="15.75" customHeight="1">
      <c r="D799" s="30"/>
      <c r="E799" s="30"/>
    </row>
    <row r="800" ht="15.75" customHeight="1">
      <c r="D800" s="30"/>
      <c r="E800" s="30"/>
    </row>
    <row r="801" ht="15.75" customHeight="1">
      <c r="D801" s="30"/>
      <c r="E801" s="30"/>
    </row>
    <row r="802" ht="15.75" customHeight="1">
      <c r="D802" s="30"/>
      <c r="E802" s="30"/>
    </row>
    <row r="803" ht="15.75" customHeight="1">
      <c r="D803" s="30"/>
      <c r="E803" s="30"/>
    </row>
    <row r="804" ht="15.75" customHeight="1">
      <c r="D804" s="30"/>
      <c r="E804" s="30"/>
    </row>
    <row r="805" ht="15.75" customHeight="1">
      <c r="D805" s="30"/>
      <c r="E805" s="30"/>
    </row>
    <row r="806" ht="15.75" customHeight="1">
      <c r="D806" s="30"/>
      <c r="E806" s="30"/>
    </row>
    <row r="807" ht="15.75" customHeight="1">
      <c r="D807" s="30"/>
      <c r="E807" s="30"/>
    </row>
    <row r="808" ht="15.75" customHeight="1">
      <c r="D808" s="30"/>
      <c r="E808" s="30"/>
    </row>
    <row r="809" ht="15.75" customHeight="1">
      <c r="D809" s="30"/>
      <c r="E809" s="30"/>
    </row>
    <row r="810" ht="15.75" customHeight="1">
      <c r="D810" s="30"/>
      <c r="E810" s="30"/>
    </row>
    <row r="811" ht="15.75" customHeight="1">
      <c r="D811" s="30"/>
      <c r="E811" s="30"/>
    </row>
    <row r="812" ht="15.75" customHeight="1">
      <c r="D812" s="30"/>
      <c r="E812" s="30"/>
    </row>
    <row r="813" ht="15.75" customHeight="1">
      <c r="D813" s="30"/>
      <c r="E813" s="30"/>
    </row>
    <row r="814" ht="15.75" customHeight="1">
      <c r="D814" s="30"/>
      <c r="E814" s="30"/>
    </row>
    <row r="815" ht="15.75" customHeight="1">
      <c r="D815" s="30"/>
      <c r="E815" s="30"/>
    </row>
    <row r="816" ht="15.75" customHeight="1">
      <c r="D816" s="30"/>
      <c r="E816" s="30"/>
    </row>
    <row r="817" ht="15.75" customHeight="1">
      <c r="D817" s="30"/>
      <c r="E817" s="30"/>
    </row>
    <row r="818" ht="15.75" customHeight="1">
      <c r="D818" s="30"/>
      <c r="E818" s="30"/>
    </row>
    <row r="819" ht="15.75" customHeight="1">
      <c r="D819" s="30"/>
      <c r="E819" s="30"/>
    </row>
    <row r="820" ht="15.75" customHeight="1">
      <c r="D820" s="30"/>
      <c r="E820" s="30"/>
    </row>
    <row r="821" ht="15.75" customHeight="1">
      <c r="D821" s="30"/>
      <c r="E821" s="30"/>
    </row>
    <row r="822" ht="15.75" customHeight="1">
      <c r="D822" s="30"/>
      <c r="E822" s="30"/>
    </row>
    <row r="823" ht="15.75" customHeight="1">
      <c r="D823" s="30"/>
      <c r="E823" s="30"/>
    </row>
    <row r="824" ht="15.75" customHeight="1">
      <c r="D824" s="30"/>
      <c r="E824" s="30"/>
    </row>
    <row r="825" ht="15.75" customHeight="1">
      <c r="D825" s="30"/>
      <c r="E825" s="30"/>
    </row>
    <row r="826" ht="15.75" customHeight="1">
      <c r="D826" s="30"/>
      <c r="E826" s="30"/>
    </row>
    <row r="827" ht="15.75" customHeight="1">
      <c r="D827" s="30"/>
      <c r="E827" s="30"/>
    </row>
    <row r="828" ht="15.75" customHeight="1">
      <c r="D828" s="30"/>
      <c r="E828" s="30"/>
    </row>
    <row r="829" ht="15.75" customHeight="1">
      <c r="D829" s="30"/>
      <c r="E829" s="30"/>
    </row>
    <row r="830" ht="15.75" customHeight="1">
      <c r="D830" s="30"/>
      <c r="E830" s="30"/>
    </row>
    <row r="831" ht="15.75" customHeight="1">
      <c r="D831" s="30"/>
      <c r="E831" s="30"/>
    </row>
    <row r="832" ht="15.75" customHeight="1">
      <c r="D832" s="30"/>
      <c r="E832" s="30"/>
    </row>
    <row r="833" ht="15.75" customHeight="1">
      <c r="D833" s="30"/>
      <c r="E833" s="30"/>
    </row>
    <row r="834" ht="15.75" customHeight="1">
      <c r="D834" s="30"/>
      <c r="E834" s="30"/>
    </row>
    <row r="835" ht="15.75" customHeight="1">
      <c r="D835" s="30"/>
      <c r="E835" s="30"/>
    </row>
    <row r="836" ht="15.75" customHeight="1">
      <c r="D836" s="30"/>
      <c r="E836" s="30"/>
    </row>
    <row r="837" ht="15.75" customHeight="1">
      <c r="D837" s="30"/>
      <c r="E837" s="30"/>
    </row>
    <row r="838" ht="15.75" customHeight="1">
      <c r="D838" s="30"/>
      <c r="E838" s="30"/>
    </row>
    <row r="839" ht="15.75" customHeight="1">
      <c r="D839" s="30"/>
      <c r="E839" s="30"/>
    </row>
    <row r="840" ht="15.75" customHeight="1">
      <c r="D840" s="30"/>
      <c r="E840" s="30"/>
    </row>
    <row r="841" ht="15.75" customHeight="1">
      <c r="D841" s="30"/>
      <c r="E841" s="30"/>
    </row>
    <row r="842" ht="15.75" customHeight="1">
      <c r="D842" s="30"/>
      <c r="E842" s="30"/>
    </row>
    <row r="843" ht="15.75" customHeight="1">
      <c r="D843" s="30"/>
      <c r="E843" s="30"/>
    </row>
    <row r="844" ht="15.75" customHeight="1">
      <c r="D844" s="30"/>
      <c r="E844" s="30"/>
    </row>
    <row r="845" ht="15.75" customHeight="1">
      <c r="D845" s="30"/>
      <c r="E845" s="30"/>
    </row>
    <row r="846" ht="15.75" customHeight="1">
      <c r="D846" s="30"/>
      <c r="E846" s="30"/>
    </row>
    <row r="847" ht="15.75" customHeight="1">
      <c r="D847" s="30"/>
      <c r="E847" s="30"/>
    </row>
    <row r="848" ht="15.75" customHeight="1">
      <c r="D848" s="30"/>
      <c r="E848" s="30"/>
    </row>
    <row r="849" ht="15.75" customHeight="1">
      <c r="D849" s="30"/>
      <c r="E849" s="30"/>
    </row>
    <row r="850" ht="15.75" customHeight="1">
      <c r="D850" s="30"/>
      <c r="E850" s="30"/>
    </row>
    <row r="851" ht="15.75" customHeight="1">
      <c r="D851" s="30"/>
      <c r="E851" s="30"/>
    </row>
    <row r="852" ht="15.75" customHeight="1">
      <c r="D852" s="30"/>
      <c r="E852" s="30"/>
    </row>
    <row r="853" ht="15.75" customHeight="1">
      <c r="D853" s="30"/>
      <c r="E853" s="30"/>
    </row>
    <row r="854" ht="15.75" customHeight="1">
      <c r="D854" s="30"/>
      <c r="E854" s="30"/>
    </row>
    <row r="855" ht="15.75" customHeight="1">
      <c r="D855" s="30"/>
      <c r="E855" s="30"/>
    </row>
    <row r="856" ht="15.75" customHeight="1">
      <c r="D856" s="30"/>
      <c r="E856" s="30"/>
    </row>
    <row r="857" ht="15.75" customHeight="1">
      <c r="D857" s="30"/>
      <c r="E857" s="30"/>
    </row>
    <row r="858" ht="15.75" customHeight="1">
      <c r="D858" s="30"/>
      <c r="E858" s="30"/>
    </row>
    <row r="859" ht="15.75" customHeight="1">
      <c r="D859" s="30"/>
      <c r="E859" s="30"/>
    </row>
    <row r="860" ht="15.75" customHeight="1">
      <c r="D860" s="30"/>
      <c r="E860" s="30"/>
    </row>
    <row r="861" ht="15.75" customHeight="1">
      <c r="D861" s="30"/>
      <c r="E861" s="30"/>
    </row>
    <row r="862" ht="15.75" customHeight="1">
      <c r="D862" s="30"/>
      <c r="E862" s="30"/>
    </row>
    <row r="863" ht="15.75" customHeight="1">
      <c r="D863" s="30"/>
      <c r="E863" s="30"/>
    </row>
    <row r="864" ht="15.75" customHeight="1">
      <c r="D864" s="30"/>
      <c r="E864" s="30"/>
    </row>
    <row r="865" ht="15.75" customHeight="1">
      <c r="D865" s="30"/>
      <c r="E865" s="30"/>
    </row>
    <row r="866" ht="15.75" customHeight="1">
      <c r="D866" s="30"/>
      <c r="E866" s="30"/>
    </row>
    <row r="867" ht="15.75" customHeight="1">
      <c r="D867" s="30"/>
      <c r="E867" s="30"/>
    </row>
    <row r="868" ht="15.75" customHeight="1">
      <c r="D868" s="30"/>
      <c r="E868" s="30"/>
    </row>
    <row r="869" ht="15.75" customHeight="1">
      <c r="D869" s="30"/>
      <c r="E869" s="30"/>
    </row>
    <row r="870" ht="15.75" customHeight="1">
      <c r="D870" s="30"/>
      <c r="E870" s="30"/>
    </row>
    <row r="871" ht="15.75" customHeight="1">
      <c r="D871" s="30"/>
      <c r="E871" s="30"/>
    </row>
    <row r="872" ht="15.75" customHeight="1">
      <c r="D872" s="30"/>
      <c r="E872" s="30"/>
    </row>
    <row r="873" ht="15.75" customHeight="1">
      <c r="D873" s="30"/>
      <c r="E873" s="30"/>
    </row>
    <row r="874" ht="15.75" customHeight="1">
      <c r="D874" s="30"/>
      <c r="E874" s="30"/>
    </row>
    <row r="875" ht="15.75" customHeight="1">
      <c r="D875" s="30"/>
      <c r="E875" s="30"/>
    </row>
    <row r="876" ht="15.75" customHeight="1">
      <c r="D876" s="30"/>
      <c r="E876" s="30"/>
    </row>
    <row r="877" ht="15.75" customHeight="1">
      <c r="D877" s="30"/>
      <c r="E877" s="30"/>
    </row>
    <row r="878" ht="15.75" customHeight="1">
      <c r="D878" s="30"/>
      <c r="E878" s="30"/>
    </row>
    <row r="879" ht="15.75" customHeight="1">
      <c r="D879" s="30"/>
      <c r="E879" s="30"/>
    </row>
    <row r="880" ht="15.75" customHeight="1">
      <c r="D880" s="30"/>
      <c r="E880" s="30"/>
    </row>
    <row r="881" ht="15.75" customHeight="1">
      <c r="D881" s="30"/>
      <c r="E881" s="30"/>
    </row>
    <row r="882" ht="15.75" customHeight="1">
      <c r="D882" s="30"/>
      <c r="E882" s="30"/>
    </row>
    <row r="883" ht="15.75" customHeight="1">
      <c r="D883" s="30"/>
      <c r="E883" s="30"/>
    </row>
    <row r="884" ht="15.75" customHeight="1">
      <c r="D884" s="30"/>
      <c r="E884" s="30"/>
    </row>
    <row r="885" ht="15.75" customHeight="1">
      <c r="D885" s="30"/>
      <c r="E885" s="30"/>
    </row>
    <row r="886" ht="15.75" customHeight="1">
      <c r="D886" s="30"/>
      <c r="E886" s="30"/>
    </row>
    <row r="887" ht="15.75" customHeight="1">
      <c r="D887" s="30"/>
      <c r="E887" s="30"/>
    </row>
    <row r="888" ht="15.75" customHeight="1">
      <c r="D888" s="30"/>
      <c r="E888" s="30"/>
    </row>
    <row r="889" ht="15.75" customHeight="1">
      <c r="D889" s="30"/>
      <c r="E889" s="30"/>
    </row>
    <row r="890" ht="15.75" customHeight="1">
      <c r="D890" s="30"/>
      <c r="E890" s="30"/>
    </row>
    <row r="891" ht="15.75" customHeight="1">
      <c r="D891" s="30"/>
      <c r="E891" s="30"/>
    </row>
    <row r="892" ht="15.75" customHeight="1">
      <c r="D892" s="30"/>
      <c r="E892" s="30"/>
    </row>
    <row r="893" ht="15.75" customHeight="1">
      <c r="D893" s="30"/>
      <c r="E893" s="30"/>
    </row>
    <row r="894" ht="15.75" customHeight="1">
      <c r="D894" s="30"/>
      <c r="E894" s="30"/>
    </row>
    <row r="895" ht="15.75" customHeight="1">
      <c r="D895" s="30"/>
      <c r="E895" s="30"/>
    </row>
    <row r="896" ht="15.75" customHeight="1">
      <c r="D896" s="30"/>
      <c r="E896" s="30"/>
    </row>
    <row r="897" ht="15.75" customHeight="1">
      <c r="D897" s="30"/>
      <c r="E897" s="30"/>
    </row>
    <row r="898" ht="15.75" customHeight="1">
      <c r="D898" s="30"/>
      <c r="E898" s="30"/>
    </row>
    <row r="899" ht="15.75" customHeight="1">
      <c r="D899" s="30"/>
      <c r="E899" s="30"/>
    </row>
    <row r="900" ht="15.75" customHeight="1">
      <c r="D900" s="30"/>
      <c r="E900" s="30"/>
    </row>
    <row r="901" ht="15.75" customHeight="1">
      <c r="D901" s="30"/>
      <c r="E901" s="30"/>
    </row>
    <row r="902" ht="15.75" customHeight="1">
      <c r="D902" s="30"/>
      <c r="E902" s="30"/>
    </row>
    <row r="903" ht="15.75" customHeight="1">
      <c r="D903" s="30"/>
      <c r="E903" s="30"/>
    </row>
    <row r="904" ht="15.75" customHeight="1">
      <c r="D904" s="30"/>
      <c r="E904" s="30"/>
    </row>
    <row r="905" ht="15.75" customHeight="1">
      <c r="D905" s="30"/>
      <c r="E905" s="30"/>
    </row>
    <row r="906" ht="15.75" customHeight="1">
      <c r="D906" s="30"/>
      <c r="E906" s="30"/>
    </row>
    <row r="907" ht="15.75" customHeight="1">
      <c r="D907" s="30"/>
      <c r="E907" s="30"/>
    </row>
    <row r="908" ht="15.75" customHeight="1">
      <c r="D908" s="30"/>
      <c r="E908" s="30"/>
    </row>
    <row r="909" ht="15.75" customHeight="1">
      <c r="D909" s="30"/>
      <c r="E909" s="30"/>
    </row>
    <row r="910" ht="15.75" customHeight="1">
      <c r="D910" s="30"/>
      <c r="E910" s="30"/>
    </row>
    <row r="911" ht="15.75" customHeight="1">
      <c r="D911" s="30"/>
      <c r="E911" s="30"/>
    </row>
    <row r="912" ht="15.75" customHeight="1">
      <c r="D912" s="30"/>
      <c r="E912" s="30"/>
    </row>
    <row r="913" ht="15.75" customHeight="1">
      <c r="D913" s="30"/>
      <c r="E913" s="30"/>
    </row>
    <row r="914" ht="15.75" customHeight="1">
      <c r="D914" s="30"/>
      <c r="E914" s="30"/>
    </row>
    <row r="915" ht="15.75" customHeight="1">
      <c r="D915" s="30"/>
      <c r="E915" s="30"/>
    </row>
    <row r="916" ht="15.75" customHeight="1">
      <c r="D916" s="30"/>
      <c r="E916" s="30"/>
    </row>
    <row r="917" ht="15.75" customHeight="1">
      <c r="D917" s="30"/>
      <c r="E917" s="30"/>
    </row>
    <row r="918" ht="15.75" customHeight="1">
      <c r="D918" s="30"/>
      <c r="E918" s="30"/>
    </row>
    <row r="919" ht="15.75" customHeight="1">
      <c r="D919" s="30"/>
      <c r="E919" s="30"/>
    </row>
    <row r="920" ht="15.75" customHeight="1">
      <c r="D920" s="30"/>
      <c r="E920" s="30"/>
    </row>
    <row r="921" ht="15.75" customHeight="1">
      <c r="D921" s="30"/>
      <c r="E921" s="30"/>
    </row>
    <row r="922" ht="15.75" customHeight="1">
      <c r="D922" s="30"/>
      <c r="E922" s="30"/>
    </row>
    <row r="923" ht="15.75" customHeight="1">
      <c r="D923" s="30"/>
      <c r="E923" s="30"/>
    </row>
    <row r="924" ht="15.75" customHeight="1">
      <c r="D924" s="30"/>
      <c r="E924" s="30"/>
    </row>
    <row r="925" ht="15.75" customHeight="1">
      <c r="D925" s="30"/>
      <c r="E925" s="30"/>
    </row>
    <row r="926" ht="15.75" customHeight="1">
      <c r="D926" s="30"/>
      <c r="E926" s="30"/>
    </row>
    <row r="927" ht="15.75" customHeight="1">
      <c r="D927" s="30"/>
      <c r="E927" s="30"/>
    </row>
    <row r="928" ht="15.75" customHeight="1">
      <c r="D928" s="30"/>
      <c r="E928" s="30"/>
    </row>
    <row r="929" ht="15.75" customHeight="1">
      <c r="D929" s="30"/>
      <c r="E929" s="30"/>
    </row>
    <row r="930" ht="15.75" customHeight="1">
      <c r="D930" s="30"/>
      <c r="E930" s="30"/>
    </row>
    <row r="931" ht="15.75" customHeight="1">
      <c r="D931" s="30"/>
      <c r="E931" s="30"/>
    </row>
    <row r="932" ht="15.75" customHeight="1">
      <c r="D932" s="30"/>
      <c r="E932" s="30"/>
    </row>
    <row r="933" ht="15.75" customHeight="1">
      <c r="D933" s="30"/>
      <c r="E933" s="30"/>
    </row>
    <row r="934" ht="15.75" customHeight="1">
      <c r="D934" s="30"/>
      <c r="E934" s="30"/>
    </row>
    <row r="935" ht="15.75" customHeight="1">
      <c r="D935" s="30"/>
      <c r="E935" s="30"/>
    </row>
    <row r="936" ht="15.75" customHeight="1">
      <c r="D936" s="30"/>
      <c r="E936" s="30"/>
    </row>
    <row r="937" ht="15.75" customHeight="1">
      <c r="D937" s="30"/>
      <c r="E937" s="30"/>
    </row>
    <row r="938" ht="15.75" customHeight="1">
      <c r="D938" s="30"/>
      <c r="E938" s="30"/>
    </row>
    <row r="939" ht="15.75" customHeight="1">
      <c r="D939" s="30"/>
      <c r="E939" s="30"/>
    </row>
    <row r="940" ht="15.75" customHeight="1">
      <c r="D940" s="30"/>
      <c r="E940" s="30"/>
    </row>
    <row r="941" ht="15.75" customHeight="1">
      <c r="D941" s="30"/>
      <c r="E941" s="30"/>
    </row>
    <row r="942" ht="15.75" customHeight="1">
      <c r="D942" s="30"/>
      <c r="E942" s="30"/>
    </row>
    <row r="943" ht="15.75" customHeight="1">
      <c r="D943" s="30"/>
      <c r="E943" s="30"/>
    </row>
    <row r="944" ht="15.75" customHeight="1">
      <c r="D944" s="30"/>
      <c r="E944" s="30"/>
    </row>
    <row r="945" ht="15.75" customHeight="1">
      <c r="D945" s="30"/>
      <c r="E945" s="30"/>
    </row>
    <row r="946" ht="15.75" customHeight="1">
      <c r="D946" s="30"/>
      <c r="E946" s="30"/>
    </row>
    <row r="947" ht="15.75" customHeight="1">
      <c r="D947" s="30"/>
      <c r="E947" s="30"/>
    </row>
    <row r="948" ht="15.75" customHeight="1">
      <c r="D948" s="30"/>
      <c r="E948" s="30"/>
    </row>
    <row r="949" ht="15.75" customHeight="1">
      <c r="D949" s="30"/>
      <c r="E949" s="30"/>
    </row>
    <row r="950" ht="15.75" customHeight="1">
      <c r="D950" s="30"/>
      <c r="E950" s="30"/>
    </row>
    <row r="951" ht="15.75" customHeight="1">
      <c r="D951" s="30"/>
      <c r="E951" s="30"/>
    </row>
    <row r="952" ht="15.75" customHeight="1">
      <c r="D952" s="30"/>
      <c r="E952" s="30"/>
    </row>
    <row r="953" ht="15.75" customHeight="1">
      <c r="D953" s="30"/>
      <c r="E953" s="30"/>
    </row>
    <row r="954" ht="15.75" customHeight="1">
      <c r="D954" s="30"/>
      <c r="E954" s="30"/>
    </row>
    <row r="955" ht="15.75" customHeight="1">
      <c r="D955" s="30"/>
      <c r="E955" s="30"/>
    </row>
    <row r="956" ht="15.75" customHeight="1">
      <c r="D956" s="30"/>
      <c r="E956" s="30"/>
    </row>
    <row r="957" ht="15.75" customHeight="1">
      <c r="D957" s="30"/>
      <c r="E957" s="30"/>
    </row>
    <row r="958" ht="15.75" customHeight="1">
      <c r="D958" s="30"/>
      <c r="E958" s="30"/>
    </row>
    <row r="959" ht="15.75" customHeight="1">
      <c r="D959" s="30"/>
      <c r="E959" s="30"/>
    </row>
    <row r="960" ht="15.75" customHeight="1">
      <c r="D960" s="30"/>
      <c r="E960" s="30"/>
    </row>
    <row r="961" ht="15.75" customHeight="1">
      <c r="D961" s="30"/>
      <c r="E961" s="30"/>
    </row>
    <row r="962" ht="15.75" customHeight="1">
      <c r="D962" s="30"/>
      <c r="E962" s="30"/>
    </row>
    <row r="963" ht="15.75" customHeight="1">
      <c r="D963" s="30"/>
      <c r="E963" s="30"/>
    </row>
    <row r="964" ht="15.75" customHeight="1">
      <c r="D964" s="30"/>
      <c r="E964" s="30"/>
    </row>
    <row r="965" ht="15.75" customHeight="1">
      <c r="D965" s="30"/>
      <c r="E965" s="30"/>
    </row>
    <row r="966" ht="15.75" customHeight="1">
      <c r="D966" s="30"/>
      <c r="E966" s="30"/>
    </row>
    <row r="967" ht="15.75" customHeight="1">
      <c r="D967" s="30"/>
      <c r="E967" s="30"/>
    </row>
    <row r="968" ht="15.75" customHeight="1">
      <c r="D968" s="30"/>
      <c r="E968" s="30"/>
    </row>
    <row r="969" ht="15.75" customHeight="1">
      <c r="D969" s="30"/>
      <c r="E969" s="30"/>
    </row>
    <row r="970" ht="15.75" customHeight="1">
      <c r="D970" s="30"/>
      <c r="E970" s="30"/>
    </row>
    <row r="971" ht="15.75" customHeight="1">
      <c r="D971" s="30"/>
      <c r="E971" s="30"/>
    </row>
    <row r="972" ht="15.75" customHeight="1">
      <c r="D972" s="30"/>
      <c r="E972" s="30"/>
    </row>
    <row r="973" ht="15.75" customHeight="1">
      <c r="D973" s="30"/>
      <c r="E973" s="30"/>
    </row>
    <row r="974" ht="15.75" customHeight="1">
      <c r="D974" s="30"/>
      <c r="E974" s="30"/>
    </row>
    <row r="975" ht="15.75" customHeight="1">
      <c r="D975" s="30"/>
      <c r="E975" s="30"/>
    </row>
    <row r="976" ht="15.75" customHeight="1">
      <c r="D976" s="30"/>
      <c r="E976" s="30"/>
    </row>
    <row r="977" ht="15.75" customHeight="1">
      <c r="D977" s="30"/>
      <c r="E977" s="30"/>
    </row>
    <row r="978" ht="15.75" customHeight="1">
      <c r="D978" s="30"/>
      <c r="E978" s="30"/>
    </row>
    <row r="979" ht="15.75" customHeight="1">
      <c r="D979" s="30"/>
      <c r="E979" s="30"/>
    </row>
    <row r="980" ht="15.75" customHeight="1">
      <c r="D980" s="30"/>
      <c r="E980" s="30"/>
    </row>
    <row r="981" ht="15.75" customHeight="1">
      <c r="D981" s="30"/>
      <c r="E981" s="30"/>
    </row>
    <row r="982" ht="15.75" customHeight="1">
      <c r="D982" s="30"/>
      <c r="E982" s="30"/>
    </row>
    <row r="983" ht="15.75" customHeight="1">
      <c r="D983" s="30"/>
      <c r="E983" s="30"/>
    </row>
    <row r="984" ht="15.75" customHeight="1">
      <c r="D984" s="30"/>
      <c r="E984" s="30"/>
    </row>
    <row r="985" ht="15.75" customHeight="1">
      <c r="D985" s="30"/>
      <c r="E985" s="30"/>
    </row>
    <row r="986" ht="15.75" customHeight="1">
      <c r="D986" s="30"/>
      <c r="E986" s="30"/>
    </row>
    <row r="987" ht="15.75" customHeight="1">
      <c r="D987" s="30"/>
      <c r="E987" s="30"/>
    </row>
    <row r="988" ht="15.75" customHeight="1">
      <c r="D988" s="30"/>
      <c r="E988" s="30"/>
    </row>
    <row r="989" ht="15.75" customHeight="1">
      <c r="D989" s="30"/>
      <c r="E989" s="30"/>
    </row>
    <row r="990" ht="15.75" customHeight="1">
      <c r="D990" s="30"/>
      <c r="E990" s="30"/>
    </row>
    <row r="991" ht="15.75" customHeight="1">
      <c r="D991" s="30"/>
      <c r="E991" s="30"/>
    </row>
    <row r="992" ht="15.75" customHeight="1">
      <c r="D992" s="30"/>
      <c r="E992" s="30"/>
    </row>
    <row r="993" ht="15.75" customHeight="1">
      <c r="D993" s="30"/>
      <c r="E993" s="30"/>
    </row>
    <row r="994" ht="15.75" customHeight="1">
      <c r="D994" s="30"/>
      <c r="E994" s="30"/>
    </row>
    <row r="995" ht="15.75" customHeight="1">
      <c r="D995" s="30"/>
      <c r="E995" s="30"/>
    </row>
    <row r="996" ht="15.75" customHeight="1">
      <c r="D996" s="30"/>
      <c r="E996" s="30"/>
    </row>
    <row r="997" ht="15.75" customHeight="1">
      <c r="D997" s="30"/>
      <c r="E997" s="30"/>
    </row>
    <row r="998" ht="15.75" customHeight="1">
      <c r="D998" s="30"/>
      <c r="E998" s="30"/>
    </row>
    <row r="999" ht="15.75" customHeight="1">
      <c r="D999" s="30"/>
      <c r="E999" s="30"/>
    </row>
    <row r="1000" ht="15.75" customHeight="1">
      <c r="D1000" s="30"/>
      <c r="E1000" s="30"/>
    </row>
    <row r="1001" ht="15.75" customHeight="1">
      <c r="D1001" s="30"/>
      <c r="E1001" s="30"/>
    </row>
    <row r="1002" ht="15.75" customHeight="1">
      <c r="D1002" s="30"/>
      <c r="E1002" s="30"/>
    </row>
    <row r="1003" ht="15.75" customHeight="1">
      <c r="D1003" s="30"/>
      <c r="E1003" s="30"/>
    </row>
    <row r="1004" ht="15.75" customHeight="1">
      <c r="D1004" s="30"/>
      <c r="E1004" s="3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6.0"/>
    <col customWidth="1" min="3" max="26" width="8.63"/>
  </cols>
  <sheetData>
    <row r="1">
      <c r="A1" s="31" t="s">
        <v>134</v>
      </c>
    </row>
    <row r="2">
      <c r="A2" s="32" t="s">
        <v>135</v>
      </c>
      <c r="B2" s="32" t="s">
        <v>136</v>
      </c>
    </row>
    <row r="3">
      <c r="A3" s="33" t="s">
        <v>137</v>
      </c>
      <c r="B3" s="34">
        <f>COUNTA(Leads!A2:A1000)</f>
        <v>5</v>
      </c>
    </row>
    <row r="4">
      <c r="A4" s="33" t="s">
        <v>138</v>
      </c>
      <c r="B4" s="34">
        <f>COUNTIF(Leads!K2:K1000,"Hot")</f>
        <v>3</v>
      </c>
    </row>
    <row r="5">
      <c r="A5" s="33" t="s">
        <v>139</v>
      </c>
      <c r="B5" s="34">
        <f>COUNTIF(Leads!K2:K1000,"Warm")</f>
        <v>1</v>
      </c>
    </row>
    <row r="6">
      <c r="A6" s="33" t="s">
        <v>140</v>
      </c>
      <c r="B6" s="34">
        <f>COUNTIF(Leads!K2:K1000,"Cold")</f>
        <v>1</v>
      </c>
    </row>
    <row r="7">
      <c r="A7" s="33" t="s">
        <v>141</v>
      </c>
      <c r="B7" s="34">
        <f>COUNTIF(Leads!L2:L1000,"High")</f>
        <v>3</v>
      </c>
    </row>
    <row r="8">
      <c r="A8" s="33" t="s">
        <v>142</v>
      </c>
      <c r="B8" s="34">
        <f>COUNTIF(Leads!T2:T1000,"Assigned")</f>
        <v>5</v>
      </c>
    </row>
    <row r="9">
      <c r="A9" s="33" t="s">
        <v>143</v>
      </c>
      <c r="B9" s="34">
        <f>COUNTIF(Leads!V2:V1000,"Booked")</f>
        <v>0</v>
      </c>
    </row>
    <row r="10">
      <c r="A10" s="33" t="s">
        <v>144</v>
      </c>
      <c r="B10" s="34">
        <f>COUNTIF(Leads!AA2:AA1000,"Escalated")</f>
        <v>0</v>
      </c>
    </row>
    <row r="11">
      <c r="A11" s="20" t="s">
        <v>145</v>
      </c>
      <c r="B11" s="34">
        <f>COUNTIF('Follow-Ups'!F:F,"Pending")</f>
        <v>0</v>
      </c>
    </row>
    <row r="12">
      <c r="A12" s="20" t="s">
        <v>146</v>
      </c>
      <c r="B12" s="35">
        <f>COUNTIF('Follow-Ups'!F:F,"Sent")</f>
        <v>5</v>
      </c>
    </row>
    <row r="13">
      <c r="A13" s="20" t="s">
        <v>147</v>
      </c>
      <c r="B13" s="35">
        <f>COUNTIF('Follow-Ups'!L:L,"Escalated")</f>
        <v>1</v>
      </c>
    </row>
    <row r="14">
      <c r="A14" s="20" t="s">
        <v>148</v>
      </c>
      <c r="B14" s="35">
        <f>COUNTA('Activity Log'!C:C)-1</f>
        <v>24</v>
      </c>
    </row>
    <row r="15">
      <c r="A15" s="33"/>
      <c r="B15" s="34"/>
    </row>
    <row r="16">
      <c r="A16" s="33"/>
      <c r="B16" s="34"/>
    </row>
    <row r="17">
      <c r="A17" s="36" t="s">
        <v>149</v>
      </c>
      <c r="B17" s="37"/>
    </row>
    <row r="18">
      <c r="A18" s="33" t="s">
        <v>37</v>
      </c>
      <c r="B18" s="34">
        <f>COUNTIF(Leads!P2:P1000,"Anna Santos")</f>
        <v>2</v>
      </c>
    </row>
    <row r="19">
      <c r="A19" s="33" t="s">
        <v>59</v>
      </c>
      <c r="B19" s="34">
        <f>COUNTIF(Leads!P2:P1000,"Bob Reyes")</f>
        <v>2</v>
      </c>
    </row>
    <row r="20">
      <c r="A20" s="33" t="s">
        <v>81</v>
      </c>
      <c r="B20" s="34">
        <f>COUNTIF(Leads!P2:P1000,"Carl Cruz")</f>
        <v>1</v>
      </c>
    </row>
    <row r="21">
      <c r="A21" s="33"/>
      <c r="B21" s="34"/>
    </row>
    <row r="22">
      <c r="A22" s="36" t="s">
        <v>150</v>
      </c>
      <c r="B22" s="37"/>
    </row>
    <row r="23">
      <c r="A23" s="33" t="s">
        <v>151</v>
      </c>
      <c r="B23" s="34">
        <f>COUNTIF(Leads!T2:T1000,"New")</f>
        <v>0</v>
      </c>
    </row>
    <row r="24">
      <c r="A24" s="33" t="s">
        <v>39</v>
      </c>
      <c r="B24" s="34">
        <f>COUNTIF(Leads!T2:T1000,"Assigned")</f>
        <v>5</v>
      </c>
    </row>
    <row r="25">
      <c r="A25" s="33" t="s">
        <v>152</v>
      </c>
      <c r="B25" s="34">
        <f>COUNTIF(Leads!T2:T1000,"Contacted")</f>
        <v>0</v>
      </c>
    </row>
    <row r="26" ht="15.75" customHeight="1">
      <c r="A26" s="33" t="s">
        <v>153</v>
      </c>
      <c r="B26" s="34">
        <f>COUNTIF(Leads!W2:W1000,"Closed Won")</f>
        <v>0</v>
      </c>
    </row>
    <row r="27" ht="15.75" customHeight="1">
      <c r="A27" s="33" t="s">
        <v>154</v>
      </c>
      <c r="B27" s="34">
        <f>COUNTIF(Leads!W2:W1000,"Closed Lost")</f>
        <v>0</v>
      </c>
    </row>
    <row r="28" ht="15.75" customHeight="1"/>
    <row r="29" ht="15.75" customHeight="1"/>
    <row r="30" ht="15.75" customHeight="1">
      <c r="A30" s="38" t="s">
        <v>20</v>
      </c>
    </row>
    <row r="31" ht="15.75" customHeight="1">
      <c r="A31" s="20" t="s">
        <v>42</v>
      </c>
      <c r="B31" s="14">
        <f>COUNTIF('Follow-Ups'!F:F,"Pending")</f>
        <v>0</v>
      </c>
    </row>
    <row r="32" ht="15.75" customHeight="1">
      <c r="A32" s="20" t="s">
        <v>130</v>
      </c>
      <c r="B32" s="14">
        <f>COUNTIF('Follow-Ups'!F:F,"Sent")</f>
        <v>5</v>
      </c>
    </row>
    <row r="33" ht="15.75" customHeight="1">
      <c r="A33" s="20" t="s">
        <v>133</v>
      </c>
      <c r="B33" s="14">
        <f>COUNTIF('Follow-Ups'!F:F,"Sent")</f>
        <v>5</v>
      </c>
    </row>
    <row r="34" ht="15.75" customHeight="1"/>
    <row r="35" ht="15.75" customHeight="1">
      <c r="A35" s="38" t="s">
        <v>155</v>
      </c>
    </row>
    <row r="36" ht="15.75" customHeight="1">
      <c r="A36" s="20" t="s">
        <v>94</v>
      </c>
      <c r="B36" s="14">
        <f>COUNTIF('Activity Log'!C:C,"Agent Notified")</f>
        <v>5</v>
      </c>
    </row>
    <row r="37" ht="15.75" customHeight="1">
      <c r="A37" s="20" t="s">
        <v>97</v>
      </c>
      <c r="B37" s="14">
        <f>COUNTIF('Activity Log'!C:C,"Acknowledgement Email Sent")</f>
        <v>5</v>
      </c>
    </row>
    <row r="38" ht="15.75" customHeight="1">
      <c r="A38" s="20" t="s">
        <v>100</v>
      </c>
      <c r="B38" s="14">
        <f>COUNTIF('Activity Log'!C:C,"Follow-Up Scheduled")</f>
        <v>5</v>
      </c>
    </row>
    <row r="39" ht="15.75" customHeight="1">
      <c r="A39" s="20" t="s">
        <v>103</v>
      </c>
      <c r="B39" s="14">
        <f>COUNTIF('Activity Log'!C:C,"Follow-Up Sent")</f>
        <v>7</v>
      </c>
    </row>
    <row r="40" ht="15.75" customHeight="1">
      <c r="A40" s="20" t="s">
        <v>106</v>
      </c>
      <c r="B40" s="14">
        <f>COUNTIF('Activity Log'!C:C,"Escalation Sent")</f>
        <v>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">
    <mergeCell ref="A1:D1"/>
    <mergeCell ref="A30:B30"/>
    <mergeCell ref="A35:B3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20.0"/>
    <col customWidth="1" min="10" max="26" width="8.63"/>
  </cols>
  <sheetData>
    <row r="1">
      <c r="A1" s="32" t="s">
        <v>5</v>
      </c>
      <c r="B1" s="32" t="s">
        <v>10</v>
      </c>
      <c r="C1" s="32" t="s">
        <v>11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26</v>
      </c>
      <c r="I1" s="32" t="s">
        <v>15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14" t="s">
        <v>30</v>
      </c>
      <c r="B2" s="14" t="s">
        <v>33</v>
      </c>
      <c r="C2" s="14" t="s">
        <v>34</v>
      </c>
      <c r="D2" s="14" t="s">
        <v>151</v>
      </c>
      <c r="E2" s="14" t="s">
        <v>40</v>
      </c>
      <c r="F2" s="14" t="s">
        <v>41</v>
      </c>
      <c r="G2" s="14" t="s">
        <v>42</v>
      </c>
      <c r="H2" s="14" t="s">
        <v>43</v>
      </c>
      <c r="I2" s="14" t="s">
        <v>37</v>
      </c>
    </row>
    <row r="3">
      <c r="A3" s="14" t="s">
        <v>47</v>
      </c>
      <c r="B3" s="14" t="s">
        <v>67</v>
      </c>
      <c r="C3" s="14" t="s">
        <v>68</v>
      </c>
      <c r="D3" s="14" t="s">
        <v>39</v>
      </c>
      <c r="E3" s="14" t="s">
        <v>156</v>
      </c>
      <c r="F3" s="14" t="s">
        <v>157</v>
      </c>
      <c r="G3" s="14" t="s">
        <v>153</v>
      </c>
      <c r="H3" s="14" t="s">
        <v>133</v>
      </c>
      <c r="I3" s="14" t="s">
        <v>59</v>
      </c>
    </row>
    <row r="4">
      <c r="A4" s="14" t="s">
        <v>54</v>
      </c>
      <c r="B4" s="14" t="s">
        <v>77</v>
      </c>
      <c r="C4" s="14" t="s">
        <v>78</v>
      </c>
      <c r="D4" s="14" t="s">
        <v>152</v>
      </c>
      <c r="E4" s="14" t="s">
        <v>158</v>
      </c>
      <c r="F4" s="14" t="s">
        <v>159</v>
      </c>
      <c r="G4" s="14" t="s">
        <v>154</v>
      </c>
      <c r="I4" s="14" t="s">
        <v>81</v>
      </c>
    </row>
    <row r="5">
      <c r="A5" s="14" t="s">
        <v>160</v>
      </c>
      <c r="D5" s="14" t="s">
        <v>161</v>
      </c>
      <c r="E5" s="14" t="s">
        <v>92</v>
      </c>
      <c r="F5" s="14" t="s">
        <v>162</v>
      </c>
      <c r="G5" s="14" t="s">
        <v>163</v>
      </c>
    </row>
    <row r="6">
      <c r="D6" s="14" t="s">
        <v>164</v>
      </c>
      <c r="E6" s="14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